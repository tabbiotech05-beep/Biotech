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ek/Desktop/"/>
    </mc:Choice>
  </mc:AlternateContent>
  <xr:revisionPtr revIDLastSave="0" documentId="13_ncr:1_{4538F1B7-C163-ED40-9C2D-398B95BB83C2}" xr6:coauthVersionLast="47" xr6:coauthVersionMax="47" xr10:uidLastSave="{00000000-0000-0000-0000-000000000000}"/>
  <bookViews>
    <workbookView xWindow="0" yWindow="0" windowWidth="28800" windowHeight="18000" activeTab="4" xr2:uid="{98332D84-A8D2-453F-AE3B-84ECFC613C18}"/>
  </bookViews>
  <sheets>
    <sheet name="Open Order PCT to Viatris" sheetId="8" r:id="rId1"/>
    <sheet name="Viatris Sales Data" sheetId="4" r:id="rId2"/>
    <sheet name="PCT Sales Data" sheetId="3" r:id="rId3"/>
    <sheet name="Monthwise Inventory Tracker  " sheetId="5" r:id="rId4"/>
    <sheet name="PCT order to Viatris " sheetId="9" r:id="rId5"/>
  </sheets>
  <externalReferences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9" i="5" l="1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4" i="5"/>
  <c r="E13" i="5"/>
  <c r="E10" i="5"/>
  <c r="E9" i="5"/>
  <c r="E7" i="5"/>
  <c r="E4" i="5"/>
  <c r="E3" i="5"/>
  <c r="E82" i="3"/>
  <c r="J28" i="8"/>
  <c r="I28" i="8"/>
  <c r="H28" i="8"/>
  <c r="G28" i="8"/>
  <c r="F28" i="8"/>
  <c r="E28" i="8"/>
  <c r="D28" i="8"/>
  <c r="C28" i="8"/>
  <c r="B28" i="8"/>
  <c r="J27" i="8"/>
  <c r="I27" i="8"/>
  <c r="H27" i="8"/>
  <c r="G27" i="8"/>
  <c r="F27" i="8"/>
  <c r="E27" i="8"/>
  <c r="D27" i="8"/>
  <c r="C27" i="8"/>
  <c r="B27" i="8"/>
  <c r="F26" i="8"/>
  <c r="E26" i="8"/>
  <c r="D26" i="8"/>
  <c r="C26" i="8"/>
  <c r="B26" i="8"/>
  <c r="D25" i="8"/>
  <c r="C25" i="8"/>
  <c r="B25" i="8"/>
  <c r="D24" i="8"/>
  <c r="C24" i="8"/>
  <c r="B24" i="8"/>
  <c r="D23" i="8"/>
  <c r="C23" i="8"/>
  <c r="B23" i="8"/>
  <c r="F22" i="8"/>
  <c r="E22" i="8"/>
  <c r="D22" i="8"/>
  <c r="C22" i="8"/>
  <c r="B22" i="8"/>
  <c r="F21" i="8"/>
  <c r="E21" i="8"/>
  <c r="D21" i="8"/>
  <c r="C21" i="8"/>
  <c r="B21" i="8"/>
  <c r="H20" i="8"/>
  <c r="G20" i="8"/>
  <c r="F20" i="8"/>
  <c r="E20" i="8"/>
  <c r="D20" i="8"/>
  <c r="C20" i="8"/>
  <c r="B20" i="8"/>
  <c r="D19" i="8"/>
  <c r="C19" i="8"/>
  <c r="B19" i="8"/>
  <c r="F18" i="8"/>
  <c r="E18" i="8"/>
  <c r="D18" i="8"/>
  <c r="C18" i="8"/>
  <c r="B18" i="8"/>
  <c r="F17" i="8"/>
  <c r="E17" i="8"/>
  <c r="D17" i="8"/>
  <c r="C17" i="8"/>
  <c r="B17" i="8"/>
  <c r="D16" i="8"/>
  <c r="C16" i="8"/>
  <c r="B16" i="8"/>
  <c r="D15" i="8"/>
  <c r="C15" i="8"/>
  <c r="B15" i="8"/>
  <c r="F14" i="8"/>
  <c r="E14" i="8"/>
  <c r="D14" i="8"/>
  <c r="C14" i="8"/>
  <c r="B14" i="8"/>
  <c r="F13" i="8"/>
  <c r="E13" i="8"/>
  <c r="D13" i="8"/>
  <c r="C13" i="8"/>
  <c r="B13" i="8"/>
  <c r="D12" i="8"/>
  <c r="C12" i="8"/>
  <c r="B12" i="8"/>
  <c r="F10" i="8"/>
  <c r="E10" i="8"/>
  <c r="D10" i="8"/>
  <c r="C10" i="8"/>
  <c r="B10" i="8"/>
  <c r="D9" i="8"/>
  <c r="C9" i="8"/>
  <c r="B9" i="8"/>
  <c r="D8" i="8"/>
  <c r="C8" i="8"/>
  <c r="B8" i="8"/>
  <c r="F7" i="8"/>
  <c r="E7" i="8"/>
  <c r="D7" i="8"/>
  <c r="C7" i="8"/>
  <c r="B7" i="8"/>
  <c r="D6" i="8"/>
  <c r="C6" i="8"/>
  <c r="B6" i="8"/>
  <c r="D5" i="8"/>
  <c r="C5" i="8"/>
  <c r="B5" i="8"/>
  <c r="D4" i="8"/>
  <c r="C4" i="8"/>
  <c r="B4" i="8"/>
  <c r="D3" i="8"/>
  <c r="C3" i="8"/>
  <c r="B3" i="8"/>
  <c r="C2" i="8"/>
  <c r="B2" i="8"/>
  <c r="D71" i="9"/>
  <c r="G69" i="9"/>
  <c r="E69" i="9"/>
  <c r="D69" i="9"/>
  <c r="E66" i="9"/>
  <c r="D66" i="9"/>
  <c r="E64" i="9"/>
  <c r="D64" i="9"/>
  <c r="G62" i="9"/>
  <c r="E62" i="9"/>
  <c r="D62" i="9"/>
  <c r="E60" i="9"/>
  <c r="D60" i="9"/>
  <c r="E58" i="9"/>
  <c r="D58" i="9"/>
  <c r="E56" i="9"/>
  <c r="D56" i="9"/>
  <c r="E54" i="9"/>
  <c r="D54" i="9"/>
  <c r="E50" i="9"/>
  <c r="D50" i="9"/>
  <c r="G48" i="9"/>
  <c r="E48" i="9"/>
  <c r="D48" i="9"/>
  <c r="G44" i="9"/>
  <c r="E44" i="9"/>
  <c r="D44" i="9"/>
  <c r="E41" i="9"/>
  <c r="D41" i="9"/>
  <c r="E39" i="9"/>
  <c r="D39" i="9"/>
  <c r="E37" i="9"/>
  <c r="D37" i="9"/>
  <c r="K34" i="9"/>
  <c r="I34" i="9"/>
  <c r="G34" i="9"/>
  <c r="E34" i="9"/>
  <c r="D34" i="9"/>
  <c r="G32" i="9"/>
  <c r="E32" i="9"/>
  <c r="D32" i="9"/>
  <c r="K29" i="9"/>
  <c r="I29" i="9"/>
  <c r="G29" i="9"/>
  <c r="E29" i="9"/>
  <c r="D29" i="9"/>
  <c r="E27" i="9"/>
  <c r="D27" i="9"/>
  <c r="E25" i="9"/>
  <c r="D25" i="9"/>
  <c r="E22" i="9"/>
  <c r="D22" i="9"/>
  <c r="G20" i="9"/>
  <c r="E20" i="9"/>
  <c r="D20" i="9"/>
  <c r="G17" i="9"/>
  <c r="E17" i="9"/>
  <c r="D17" i="9"/>
  <c r="G14" i="9"/>
  <c r="E14" i="9"/>
  <c r="D14" i="9"/>
  <c r="E12" i="9"/>
  <c r="D12" i="9"/>
  <c r="G10" i="9"/>
  <c r="E10" i="9"/>
  <c r="D10" i="9"/>
  <c r="I2" i="9"/>
  <c r="G2" i="9"/>
  <c r="E2" i="9"/>
  <c r="D2" i="9"/>
  <c r="D39" i="5"/>
  <c r="C39" i="5" s="1"/>
  <c r="D38" i="5"/>
  <c r="C38" i="5" s="1"/>
  <c r="D37" i="5"/>
  <c r="C37" i="5" s="1"/>
  <c r="D36" i="5"/>
  <c r="C36" i="5" s="1"/>
  <c r="D35" i="5"/>
  <c r="C35" i="5" s="1"/>
  <c r="D34" i="5"/>
  <c r="C34" i="5" s="1"/>
  <c r="D33" i="5"/>
  <c r="C33" i="5" s="1"/>
  <c r="D32" i="5"/>
  <c r="C32" i="5" s="1"/>
  <c r="D31" i="5"/>
  <c r="C31" i="5" s="1"/>
  <c r="D30" i="5"/>
  <c r="C30" i="5" s="1"/>
  <c r="D29" i="5"/>
  <c r="C29" i="5" s="1"/>
  <c r="D28" i="5"/>
  <c r="C28" i="5" s="1"/>
  <c r="D27" i="5"/>
  <c r="C27" i="5" s="1"/>
  <c r="D26" i="5"/>
  <c r="C26" i="5" s="1"/>
  <c r="D25" i="5"/>
  <c r="C25" i="5" s="1"/>
  <c r="D24" i="5"/>
  <c r="C24" i="5" s="1"/>
  <c r="D23" i="5"/>
  <c r="C23" i="5" s="1"/>
  <c r="D22" i="5"/>
  <c r="C22" i="5" s="1"/>
  <c r="D21" i="5"/>
  <c r="C21" i="5" s="1"/>
  <c r="D20" i="5"/>
  <c r="C20" i="5" s="1"/>
  <c r="D19" i="5"/>
  <c r="C19" i="5" s="1"/>
  <c r="D18" i="5"/>
  <c r="C18" i="5" s="1"/>
  <c r="D17" i="5"/>
  <c r="C17" i="5" s="1"/>
  <c r="D15" i="5"/>
  <c r="C15" i="5" s="1"/>
  <c r="D14" i="5"/>
  <c r="D13" i="5"/>
  <c r="D12" i="5"/>
  <c r="D11" i="5"/>
  <c r="D10" i="5"/>
  <c r="D9" i="5"/>
  <c r="D7" i="5"/>
  <c r="D4" i="5"/>
  <c r="C4" i="5" s="1"/>
  <c r="D3" i="5"/>
  <c r="C3" i="5" s="1"/>
  <c r="F27" i="5" l="1"/>
  <c r="F32" i="5"/>
  <c r="F31" i="5"/>
  <c r="F26" i="5"/>
  <c r="F20" i="5"/>
  <c r="F19" i="5"/>
  <c r="F14" i="5"/>
  <c r="F4" i="5"/>
  <c r="F3" i="5"/>
  <c r="F21" i="5"/>
  <c r="F33" i="5"/>
  <c r="F39" i="5"/>
  <c r="F30" i="5"/>
  <c r="F34" i="5"/>
  <c r="F22" i="5"/>
  <c r="F36" i="5"/>
  <c r="F38" i="5"/>
  <c r="F7" i="5"/>
  <c r="F23" i="5"/>
  <c r="F28" i="5"/>
  <c r="F29" i="5"/>
  <c r="F9" i="5"/>
  <c r="F24" i="5"/>
  <c r="F37" i="5"/>
  <c r="F25" i="5"/>
  <c r="F13" i="5"/>
  <c r="F35" i="5"/>
  <c r="D2" i="8"/>
  <c r="E66" i="4" l="1"/>
  <c r="E82" i="4" s="1"/>
  <c r="M40" i="4" l="1"/>
  <c r="I40" i="4"/>
  <c r="F40" i="4"/>
  <c r="E40" i="4"/>
  <c r="C40" i="4"/>
  <c r="J39" i="4"/>
  <c r="J40" i="4" s="1"/>
  <c r="H39" i="4"/>
  <c r="H40" i="4" s="1"/>
  <c r="D39" i="4"/>
  <c r="G38" i="4"/>
  <c r="D38" i="4"/>
  <c r="G37" i="4"/>
  <c r="K24" i="4"/>
  <c r="K40" i="4" s="1"/>
  <c r="G24" i="4"/>
  <c r="G40" i="4" s="1"/>
  <c r="D24" i="4"/>
  <c r="D40" i="4" s="1"/>
  <c r="B24" i="4"/>
  <c r="B40" i="4" s="1"/>
  <c r="L19" i="4"/>
  <c r="L40" i="4" s="1"/>
  <c r="N4" i="4"/>
  <c r="N3" i="4"/>
  <c r="D82" i="4" l="1"/>
  <c r="C82" i="4"/>
  <c r="B82" i="4"/>
  <c r="N81" i="4"/>
  <c r="N80" i="4"/>
  <c r="N79" i="4"/>
  <c r="N78" i="4"/>
  <c r="N77" i="4"/>
  <c r="N76" i="4"/>
  <c r="N75" i="4"/>
  <c r="N74" i="4"/>
  <c r="N73" i="4"/>
  <c r="N72" i="4"/>
  <c r="N71" i="4"/>
  <c r="N70" i="4"/>
  <c r="N69" i="4"/>
  <c r="N68" i="4"/>
  <c r="N67" i="4"/>
  <c r="N66" i="4"/>
  <c r="N65" i="4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O46" i="4" s="1"/>
  <c r="N45" i="4"/>
  <c r="O45" i="4" s="1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0" i="4" s="1"/>
  <c r="N81" i="3"/>
  <c r="N80" i="3"/>
  <c r="N79" i="3"/>
  <c r="N78" i="3"/>
  <c r="N77" i="3"/>
  <c r="N76" i="3"/>
  <c r="N75" i="3"/>
  <c r="N74" i="3"/>
  <c r="N73" i="3"/>
  <c r="N72" i="3"/>
  <c r="N71" i="3"/>
  <c r="N70" i="3"/>
  <c r="N69" i="3"/>
  <c r="N68" i="3"/>
  <c r="N67" i="3"/>
  <c r="N66" i="3"/>
  <c r="N65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D82" i="3"/>
  <c r="C82" i="3"/>
  <c r="B82" i="3"/>
  <c r="M40" i="3"/>
  <c r="L40" i="3"/>
  <c r="K40" i="3"/>
  <c r="J40" i="3"/>
  <c r="I40" i="3"/>
  <c r="H40" i="3"/>
  <c r="G40" i="3"/>
  <c r="F40" i="3"/>
  <c r="E40" i="3"/>
  <c r="D40" i="3"/>
  <c r="C40" i="3"/>
  <c r="B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N82" i="3" l="1"/>
  <c r="O45" i="3"/>
  <c r="O57" i="3"/>
  <c r="O56" i="3"/>
  <c r="O55" i="3"/>
  <c r="O54" i="3"/>
  <c r="O59" i="3"/>
  <c r="O52" i="3"/>
  <c r="O51" i="3"/>
  <c r="O49" i="3"/>
  <c r="O46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N40" i="3"/>
  <c r="O55" i="4"/>
  <c r="O57" i="4"/>
  <c r="O79" i="4"/>
  <c r="O77" i="4"/>
  <c r="O67" i="4"/>
  <c r="O65" i="4"/>
  <c r="O68" i="4"/>
  <c r="O81" i="4"/>
  <c r="O80" i="4"/>
  <c r="O78" i="4"/>
  <c r="O76" i="4"/>
  <c r="O75" i="4"/>
  <c r="O74" i="4"/>
  <c r="O73" i="4"/>
  <c r="O71" i="4"/>
  <c r="O70" i="4"/>
  <c r="O66" i="4"/>
  <c r="O63" i="4"/>
  <c r="O62" i="4"/>
  <c r="O51" i="4"/>
  <c r="O49" i="4"/>
  <c r="O54" i="4"/>
  <c r="O59" i="4"/>
  <c r="O64" i="4"/>
  <c r="O72" i="4"/>
  <c r="O56" i="4"/>
  <c r="O52" i="4"/>
  <c r="O61" i="4"/>
  <c r="O69" i="4"/>
  <c r="N8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Ilhem Bechraoui Meziane</author>
  </authors>
  <commentList>
    <comment ref="E42" authorId="0" shapeId="0" xr:uid="{B9DD9903-AE2F-42DA-90F4-56B70AA9BA55}">
      <text>
        <r>
          <rPr>
            <b/>
            <sz val="9"/>
            <color indexed="81"/>
            <rFont val="Tahoma"/>
            <family val="2"/>
          </rPr>
          <t>Ilhem Bechraoui Meziane:</t>
        </r>
        <r>
          <rPr>
            <sz val="9"/>
            <color indexed="81"/>
            <rFont val="Tahoma"/>
            <family val="2"/>
          </rPr>
          <t xml:space="preserve">
AIP Available</t>
        </r>
      </text>
    </comment>
    <comment ref="E45" authorId="0" shapeId="0" xr:uid="{775675B1-C27D-4AD6-BAE7-8185DADFBC47}">
      <text>
        <r>
          <rPr>
            <b/>
            <sz val="9"/>
            <color indexed="81"/>
            <rFont val="Tahoma"/>
            <family val="2"/>
          </rPr>
          <t>Ilhem Bechraoui Meziane:</t>
        </r>
        <r>
          <rPr>
            <sz val="9"/>
            <color indexed="81"/>
            <rFont val="Tahoma"/>
            <family val="2"/>
          </rPr>
          <t xml:space="preserve">
AIP Available</t>
        </r>
      </text>
    </comment>
    <comment ref="G45" authorId="0" shapeId="0" xr:uid="{771F57A7-17F4-4C57-8D83-E22528DB2C27}">
      <text>
        <r>
          <rPr>
            <b/>
            <sz val="9"/>
            <color indexed="81"/>
            <rFont val="Tahoma"/>
            <family val="2"/>
          </rPr>
          <t>Ilhem Bechraoui Meziane:</t>
        </r>
        <r>
          <rPr>
            <sz val="9"/>
            <color indexed="81"/>
            <rFont val="Tahoma"/>
            <family val="2"/>
          </rPr>
          <t xml:space="preserve">
AIP of 12000 available
we will request a one of 7282 boxes if you confirm the whole quantity</t>
        </r>
      </text>
    </comment>
    <comment ref="E49" authorId="0" shapeId="0" xr:uid="{5E28063F-D1AA-4327-B2B8-C73D174A3261}">
      <text>
        <r>
          <rPr>
            <b/>
            <sz val="9"/>
            <color indexed="81"/>
            <rFont val="Tahoma"/>
            <family val="2"/>
          </rPr>
          <t>Ilhem Bechraoui Meziane:</t>
        </r>
        <r>
          <rPr>
            <sz val="9"/>
            <color indexed="81"/>
            <rFont val="Tahoma"/>
            <family val="2"/>
          </rPr>
          <t xml:space="preserve">
AIP Available</t>
        </r>
      </text>
    </comment>
  </commentList>
</comments>
</file>

<file path=xl/sharedStrings.xml><?xml version="1.0" encoding="utf-8"?>
<sst xmlns="http://schemas.openxmlformats.org/spreadsheetml/2006/main" count="429" uniqueCount="159">
  <si>
    <t>BRAND NAME</t>
  </si>
  <si>
    <t>PCT Code</t>
  </si>
  <si>
    <t>VALPROATE Officine</t>
  </si>
  <si>
    <t>104607</t>
  </si>
  <si>
    <t>ZOLPIDEM</t>
  </si>
  <si>
    <t>104691</t>
  </si>
  <si>
    <t>METHYLPREDNISOLONE</t>
  </si>
  <si>
    <t>502156</t>
  </si>
  <si>
    <t>METHOTREXATE 5mg/2ml</t>
  </si>
  <si>
    <t>502497</t>
  </si>
  <si>
    <t>DOBUTAMINE</t>
  </si>
  <si>
    <t>502651</t>
  </si>
  <si>
    <t>METHOTREXATE 25mg/20ml</t>
  </si>
  <si>
    <t>503089</t>
  </si>
  <si>
    <t>METHOTREXATE 50mg/2ml</t>
  </si>
  <si>
    <t>503456</t>
  </si>
  <si>
    <t xml:space="preserve">AZATHIOPRINE </t>
  </si>
  <si>
    <t>504664</t>
  </si>
  <si>
    <t>METHOTREXATE 100mg/ml (5G)</t>
  </si>
  <si>
    <t>502652</t>
  </si>
  <si>
    <t>SUFENTANIL 10µg/2ml</t>
  </si>
  <si>
    <t>505180</t>
  </si>
  <si>
    <t>CAPECITABINE</t>
  </si>
  <si>
    <t>505500</t>
  </si>
  <si>
    <t>SUFENTANIL 50µg/10ml</t>
  </si>
  <si>
    <t>505678</t>
  </si>
  <si>
    <t>PIPER/TAZO 2g/250mg</t>
  </si>
  <si>
    <t>505923</t>
  </si>
  <si>
    <t>PIPER/TAZO 4g/500mg</t>
  </si>
  <si>
    <t>505924</t>
  </si>
  <si>
    <t>LEPONEX 25mg</t>
  </si>
  <si>
    <t>505441</t>
  </si>
  <si>
    <t>LEPONEX 100mg</t>
  </si>
  <si>
    <t>505452</t>
  </si>
  <si>
    <t>FLECAINE 100mg</t>
  </si>
  <si>
    <t>103320</t>
  </si>
  <si>
    <t>FLECAINE LP 200mg</t>
  </si>
  <si>
    <t>104408</t>
  </si>
  <si>
    <t>FLECAINE LP 50mg</t>
  </si>
  <si>
    <t>104474</t>
  </si>
  <si>
    <t>FLECAINE LP 100mg</t>
  </si>
  <si>
    <t>104475</t>
  </si>
  <si>
    <t>XANAX RETARD 0.5mg</t>
  </si>
  <si>
    <t>XANAX RETARD 1mg</t>
  </si>
  <si>
    <t>106743</t>
  </si>
  <si>
    <t>XANAX 0.75mg/ml Gttes.Buv.</t>
  </si>
  <si>
    <t>106744</t>
  </si>
  <si>
    <t>EFEXOR. XL 150mg Gél. LP</t>
  </si>
  <si>
    <t>105522</t>
  </si>
  <si>
    <t>LYRICA 75mg Gél. Bt56</t>
  </si>
  <si>
    <t>105523</t>
  </si>
  <si>
    <t xml:space="preserve">EFFEXOR LP 37.5mg Gél. LP </t>
  </si>
  <si>
    <t>105525</t>
  </si>
  <si>
    <t>EFFEXOR LP 75mg Gél. LP</t>
  </si>
  <si>
    <t>105526</t>
  </si>
  <si>
    <t xml:space="preserve">XALATAN 50mcg/ml Collyre </t>
  </si>
  <si>
    <t>105527</t>
  </si>
  <si>
    <t>CADUET 10mg/10mg Comp.Pell.</t>
  </si>
  <si>
    <t>105528</t>
  </si>
  <si>
    <t xml:space="preserve">CADUET 5mg/10mg Comp.Pell. </t>
  </si>
  <si>
    <t>105529</t>
  </si>
  <si>
    <t xml:space="preserve">LYRICA 150mg Gél. </t>
  </si>
  <si>
    <t>105531</t>
  </si>
  <si>
    <t>LYRICA 75mg Gél. Bt14</t>
  </si>
  <si>
    <t>105532</t>
  </si>
  <si>
    <t>XALACOM 50mcg + 5mg/ml Collyre</t>
  </si>
  <si>
    <t>105533</t>
  </si>
  <si>
    <t xml:space="preserve">TAHOR 80mg Comp.Pell. </t>
  </si>
  <si>
    <t>105535</t>
  </si>
  <si>
    <t xml:space="preserve">VIAGRA 25mg Comp.Pell. </t>
  </si>
  <si>
    <t>105538</t>
  </si>
  <si>
    <t xml:space="preserve">VIAGRA 50mg Comp.Pell. </t>
  </si>
  <si>
    <t>105539</t>
  </si>
  <si>
    <t xml:space="preserve">VIAGRA 100mg Comp.Pell. </t>
  </si>
  <si>
    <t>105540</t>
  </si>
  <si>
    <t>Total 2025</t>
  </si>
  <si>
    <t>PCT Sales Data 2025</t>
  </si>
  <si>
    <t>PCT Sales Data 2026</t>
  </si>
  <si>
    <t>Total 2026</t>
  </si>
  <si>
    <t>2025 Comparsion as on March</t>
  </si>
  <si>
    <t>Viatris Sales Data 2025</t>
  </si>
  <si>
    <t>Viatris Sales Data 2026</t>
  </si>
  <si>
    <t>Viatris product code</t>
  </si>
  <si>
    <t>PRODUCT DESCRIPTION</t>
  </si>
  <si>
    <t>Total Ordered Qty</t>
  </si>
  <si>
    <t>Ordered Qty</t>
  </si>
  <si>
    <t>PO Number</t>
  </si>
  <si>
    <t>CADUET 10mg/10mg Comp.Pell. Bt 30</t>
  </si>
  <si>
    <t>24GG10I0147</t>
  </si>
  <si>
    <t>25GG10I0087</t>
  </si>
  <si>
    <t>25GG10I0126</t>
  </si>
  <si>
    <t>july-26</t>
  </si>
  <si>
    <t>august-27</t>
  </si>
  <si>
    <t>may-26</t>
  </si>
  <si>
    <t>march-27</t>
  </si>
  <si>
    <t>may-27</t>
  </si>
  <si>
    <t>CADUET 5mg/10mg Comp.Pell. Bt 30</t>
  </si>
  <si>
    <t>EFEXOR. XL 150mg Gél. LP Bt 28</t>
  </si>
  <si>
    <t>26MP10I0002</t>
  </si>
  <si>
    <t>EFFEXOR 37,5 LP BT 30</t>
  </si>
  <si>
    <t>june-26</t>
  </si>
  <si>
    <t>EFFEXOR 75 LP BT 30</t>
  </si>
  <si>
    <t>august-26</t>
  </si>
  <si>
    <t>LYRICA 150mg Gél. Bt 56</t>
  </si>
  <si>
    <t>LYRICA 75mg Gél. Bt 14</t>
  </si>
  <si>
    <t xml:space="preserve">25GG10I0087 </t>
  </si>
  <si>
    <t>LYRICA 75mg Gél. Bt 56</t>
  </si>
  <si>
    <t>TAHOR 80mg Comp pell. Bt 28</t>
  </si>
  <si>
    <t>25GP10I0160</t>
  </si>
  <si>
    <t>VIAGRA 100mg Comp.Pell. Bt 4</t>
  </si>
  <si>
    <t xml:space="preserve">25GP10I0102 </t>
  </si>
  <si>
    <t xml:space="preserve">UG25GP10I0102 </t>
  </si>
  <si>
    <t>UG25GP10I0160</t>
  </si>
  <si>
    <t>VIAGRA 25mg Comp. Pell. Bt 4</t>
  </si>
  <si>
    <t>UG25GP10I0102</t>
  </si>
  <si>
    <t>VIAGRA 50mg Comp.Pell. Bt 4</t>
  </si>
  <si>
    <t xml:space="preserve">XALACOM </t>
  </si>
  <si>
    <t>XALATAN 50mcg/ml Collyre Fl 2.5ml (F)</t>
  </si>
  <si>
    <t>XANAX RETARD 0.5mg Comp. LP Bt 30</t>
  </si>
  <si>
    <t>26MP10I0014</t>
  </si>
  <si>
    <t>XANAX RETARD 1mg Comp. LP Bt 30</t>
  </si>
  <si>
    <t>25GP10I0089</t>
  </si>
  <si>
    <t>25GP10I0161</t>
  </si>
  <si>
    <t>XANAX 0.75mg/ml Gttes.Buv. Fl 20ml</t>
  </si>
  <si>
    <t xml:space="preserve">25GP10I0089 </t>
  </si>
  <si>
    <t>VALPROATE TAB ER 500MG 30BT FR VIA</t>
  </si>
  <si>
    <t>25GP10I0138</t>
  </si>
  <si>
    <t>ZOLPIDEM TAB 10MG 14BL FR VIA</t>
  </si>
  <si>
    <t>SUFENTANIL SOL 0.01MG/2ML 20AMP FR VIA</t>
  </si>
  <si>
    <t>25AO50I0012</t>
  </si>
  <si>
    <t>FLECAINE TAB 100MG 30BL FR MDA</t>
  </si>
  <si>
    <t>25GG10I0110</t>
  </si>
  <si>
    <t>FLECAINE CAP PR 200MG 30BL FR MDA</t>
  </si>
  <si>
    <t>25GP10I0177</t>
  </si>
  <si>
    <t>FLECAINIDE CAP PR 50MG 30BL FR MY</t>
  </si>
  <si>
    <t>25GP10I0114</t>
  </si>
  <si>
    <t>FLECAINIDE CAP PR 100MG 30BL FR MY</t>
  </si>
  <si>
    <t>PO Quantity</t>
  </si>
  <si>
    <t>PO.NO (1)</t>
  </si>
  <si>
    <t>PO.NO(2)</t>
  </si>
  <si>
    <t>PO.NO(3)</t>
  </si>
  <si>
    <t>AMC</t>
  </si>
  <si>
    <t>MOH</t>
  </si>
  <si>
    <t>PCT Codes</t>
  </si>
  <si>
    <t>Annual offtake</t>
  </si>
  <si>
    <t>Total Open PO Quantity</t>
  </si>
  <si>
    <t>DOBUTAMINE Viatris 250mg/20ml S° Inj Bt10/20ml</t>
  </si>
  <si>
    <t>26AO50I0025</t>
  </si>
  <si>
    <t xml:space="preserve">METHOTREXATE Viatris 100mg/ml (5G) </t>
  </si>
  <si>
    <t>SUFENTANIL Viatris 50µg/10ml S° Inj Bt20 Fl 10ml</t>
  </si>
  <si>
    <t>26AO50I0041</t>
  </si>
  <si>
    <t>26AO50I0042</t>
  </si>
  <si>
    <t>feb-27</t>
  </si>
  <si>
    <t>Free Units</t>
  </si>
  <si>
    <t>Tenshi Schedule to be confirmed by Viatris</t>
  </si>
  <si>
    <t>Next shipment confirmed by Viatris</t>
  </si>
  <si>
    <t>Next shipment to be confirmed urgently by Viatris</t>
  </si>
  <si>
    <t>PO.NO(4)</t>
  </si>
  <si>
    <t>Stock as on 01/05/2026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</si>
</sst>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_-* #,##0_-;\-* #,##0_-;_-* &quot;-&quot;??_-;_-@_-"/>
    <numFmt numFmtId="166" formatCode="#,##0_ ;\-#,##0\ "/>
    <numFmt numFmtId="167" formatCode="[$-40C]mmm\-yy;@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Segoe UI"/>
      <family val="2"/>
      <charset val="1"/>
    </font>
    <font>
      <sz val="9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9"/>
      <color theme="0"/>
      <name val="Calibri"/>
      <family val="2"/>
    </font>
    <font>
      <sz val="8"/>
      <color rgb="FF7030A0"/>
      <name val="Times New Roman"/>
      <family val="1"/>
    </font>
    <font>
      <sz val="9"/>
      <color rgb="FF7030A0"/>
      <name val="Calibri"/>
      <family val="2"/>
    </font>
    <font>
      <sz val="9"/>
      <color theme="0"/>
      <name val="Calibri"/>
      <family val="2"/>
    </font>
    <font>
      <b/>
      <sz val="9"/>
      <color indexed="9"/>
      <name val="Calibri"/>
      <family val="2"/>
    </font>
    <font>
      <sz val="9"/>
      <color rgb="FF0070C0"/>
      <name val="Calibri"/>
      <family val="2"/>
    </font>
    <font>
      <sz val="9"/>
      <color rgb="FF00B050"/>
      <name val="Calibri"/>
      <family val="2"/>
    </font>
    <font>
      <sz val="9"/>
      <color rgb="FFFF0000"/>
      <name val="Calibri"/>
      <family val="2"/>
    </font>
    <font>
      <b/>
      <sz val="9"/>
      <color rgb="FF0070C0"/>
      <name val="Calibri"/>
      <family val="2"/>
    </font>
    <font>
      <b/>
      <sz val="9"/>
      <color rgb="FF7030A0"/>
      <name val="Calibri"/>
      <family val="2"/>
    </font>
    <font>
      <sz val="8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</cellStyleXfs>
  <cellXfs count="118">
    <xf numFmtId="0" fontId="0" fillId="0" borderId="0" xfId="0"/>
    <xf numFmtId="49" fontId="3" fillId="0" borderId="1" xfId="2" applyNumberFormat="1" applyFont="1" applyBorder="1" applyAlignment="1">
      <alignment horizontal="center"/>
    </xf>
    <xf numFmtId="0" fontId="8" fillId="4" borderId="0" xfId="0" applyFont="1" applyFill="1"/>
    <xf numFmtId="0" fontId="9" fillId="0" borderId="0" xfId="0" applyFont="1"/>
    <xf numFmtId="0" fontId="10" fillId="2" borderId="5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17" fontId="10" fillId="2" borderId="2" xfId="2" applyNumberFormat="1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165" fontId="7" fillId="3" borderId="3" xfId="1" applyNumberFormat="1" applyFont="1" applyFill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165" fontId="10" fillId="2" borderId="4" xfId="0" applyNumberFormat="1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9" fillId="0" borderId="3" xfId="0" applyFont="1" applyBorder="1"/>
    <xf numFmtId="0" fontId="10" fillId="2" borderId="4" xfId="0" applyFont="1" applyFill="1" applyBorder="1"/>
    <xf numFmtId="165" fontId="10" fillId="2" borderId="10" xfId="0" applyNumberFormat="1" applyFont="1" applyFill="1" applyBorder="1"/>
    <xf numFmtId="9" fontId="9" fillId="0" borderId="0" xfId="3" applyFont="1"/>
    <xf numFmtId="0" fontId="10" fillId="2" borderId="0" xfId="0" applyFont="1" applyFill="1" applyAlignment="1">
      <alignment wrapText="1"/>
    </xf>
    <xf numFmtId="0" fontId="12" fillId="0" borderId="8" xfId="0" applyFont="1" applyBorder="1" applyAlignment="1">
      <alignment horizontal="center"/>
    </xf>
    <xf numFmtId="165" fontId="12" fillId="3" borderId="3" xfId="1" applyNumberFormat="1" applyFont="1" applyFill="1" applyBorder="1" applyAlignment="1">
      <alignment horizontal="center"/>
    </xf>
    <xf numFmtId="165" fontId="11" fillId="3" borderId="3" xfId="1" applyNumberFormat="1" applyFont="1" applyFill="1" applyBorder="1" applyAlignment="1">
      <alignment horizontal="center"/>
    </xf>
    <xf numFmtId="0" fontId="12" fillId="3" borderId="3" xfId="0" applyFont="1" applyFill="1" applyBorder="1"/>
    <xf numFmtId="0" fontId="10" fillId="2" borderId="5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6" borderId="3" xfId="0" applyFont="1" applyFill="1" applyBorder="1" applyAlignment="1">
      <alignment horizontal="center"/>
    </xf>
    <xf numFmtId="0" fontId="9" fillId="6" borderId="3" xfId="0" applyFont="1" applyFill="1" applyBorder="1" applyAlignment="1">
      <alignment horizontal="center" vertical="center"/>
    </xf>
    <xf numFmtId="165" fontId="12" fillId="3" borderId="8" xfId="0" applyNumberFormat="1" applyFont="1" applyFill="1" applyBorder="1"/>
    <xf numFmtId="165" fontId="10" fillId="2" borderId="10" xfId="0" applyNumberFormat="1" applyFont="1" applyFill="1" applyBorder="1" applyAlignment="1">
      <alignment horizontal="center"/>
    </xf>
    <xf numFmtId="165" fontId="9" fillId="0" borderId="8" xfId="0" applyNumberFormat="1" applyFont="1" applyBorder="1"/>
    <xf numFmtId="49" fontId="3" fillId="0" borderId="13" xfId="2" applyNumberFormat="1" applyFont="1" applyBorder="1" applyAlignment="1">
      <alignment horizontal="center"/>
    </xf>
    <xf numFmtId="49" fontId="3" fillId="0" borderId="3" xfId="2" applyNumberFormat="1" applyFont="1" applyBorder="1" applyAlignment="1">
      <alignment horizontal="center"/>
    </xf>
    <xf numFmtId="49" fontId="3" fillId="6" borderId="3" xfId="2" applyNumberFormat="1" applyFont="1" applyFill="1" applyBorder="1" applyAlignment="1">
      <alignment horizontal="center"/>
    </xf>
    <xf numFmtId="2" fontId="9" fillId="6" borderId="8" xfId="0" applyNumberFormat="1" applyFont="1" applyFill="1" applyBorder="1" applyAlignment="1">
      <alignment horizontal="center"/>
    </xf>
    <xf numFmtId="49" fontId="4" fillId="6" borderId="3" xfId="0" applyNumberFormat="1" applyFont="1" applyFill="1" applyBorder="1" applyAlignment="1">
      <alignment horizontal="center"/>
    </xf>
    <xf numFmtId="49" fontId="3" fillId="3" borderId="3" xfId="2" applyNumberFormat="1" applyFont="1" applyFill="1" applyBorder="1" applyAlignment="1">
      <alignment horizontal="center"/>
    </xf>
    <xf numFmtId="2" fontId="9" fillId="0" borderId="8" xfId="0" applyNumberFormat="1" applyFont="1" applyBorder="1" applyAlignment="1">
      <alignment horizontal="center"/>
    </xf>
    <xf numFmtId="49" fontId="4" fillId="0" borderId="3" xfId="0" applyNumberFormat="1" applyFont="1" applyBorder="1" applyAlignment="1">
      <alignment horizontal="center"/>
    </xf>
    <xf numFmtId="49" fontId="3" fillId="0" borderId="4" xfId="2" applyNumberFormat="1" applyFont="1" applyBorder="1" applyAlignment="1">
      <alignment horizontal="center"/>
    </xf>
    <xf numFmtId="2" fontId="9" fillId="3" borderId="8" xfId="0" applyNumberFormat="1" applyFont="1" applyFill="1" applyBorder="1" applyAlignment="1">
      <alignment horizontal="center"/>
    </xf>
    <xf numFmtId="2" fontId="7" fillId="3" borderId="8" xfId="0" applyNumberFormat="1" applyFont="1" applyFill="1" applyBorder="1" applyAlignment="1">
      <alignment horizontal="center"/>
    </xf>
    <xf numFmtId="0" fontId="14" fillId="5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/>
    </xf>
    <xf numFmtId="0" fontId="14" fillId="5" borderId="11" xfId="0" applyFont="1" applyFill="1" applyBorder="1" applyAlignment="1">
      <alignment horizontal="center" vertical="center"/>
    </xf>
    <xf numFmtId="165" fontId="14" fillId="5" borderId="12" xfId="1" applyNumberFormat="1" applyFont="1" applyFill="1" applyBorder="1" applyAlignment="1">
      <alignment horizontal="center" vertical="center" wrapText="1"/>
    </xf>
    <xf numFmtId="165" fontId="14" fillId="5" borderId="1" xfId="1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/>
    <xf numFmtId="165" fontId="7" fillId="0" borderId="1" xfId="1" applyNumberFormat="1" applyFont="1" applyFill="1" applyBorder="1" applyAlignment="1">
      <alignment horizontal="right" wrapText="1"/>
    </xf>
    <xf numFmtId="0" fontId="7" fillId="0" borderId="1" xfId="0" applyFont="1" applyBorder="1" applyAlignment="1">
      <alignment horizontal="left" wrapText="1"/>
    </xf>
    <xf numFmtId="165" fontId="16" fillId="0" borderId="1" xfId="1" applyNumberFormat="1" applyFont="1" applyFill="1" applyBorder="1" applyAlignment="1">
      <alignment horizontal="right" wrapText="1"/>
    </xf>
    <xf numFmtId="167" fontId="16" fillId="0" borderId="1" xfId="0" applyNumberFormat="1" applyFont="1" applyBorder="1" applyAlignment="1">
      <alignment horizontal="left" wrapText="1"/>
    </xf>
    <xf numFmtId="0" fontId="16" fillId="0" borderId="1" xfId="0" applyFont="1" applyBorder="1" applyAlignment="1">
      <alignment horizontal="left" wrapText="1"/>
    </xf>
    <xf numFmtId="17" fontId="16" fillId="0" borderId="1" xfId="0" applyNumberFormat="1" applyFont="1" applyBorder="1" applyAlignment="1">
      <alignment horizontal="left" wrapText="1"/>
    </xf>
    <xf numFmtId="165" fontId="7" fillId="0" borderId="1" xfId="1" applyNumberFormat="1" applyFont="1" applyFill="1" applyBorder="1" applyAlignment="1">
      <alignment horizontal="right"/>
    </xf>
    <xf numFmtId="0" fontId="7" fillId="0" borderId="1" xfId="0" applyFont="1" applyBorder="1" applyAlignment="1">
      <alignment horizontal="left"/>
    </xf>
    <xf numFmtId="165" fontId="16" fillId="0" borderId="1" xfId="1" applyNumberFormat="1" applyFont="1" applyFill="1" applyBorder="1" applyAlignment="1">
      <alignment horizontal="right"/>
    </xf>
    <xf numFmtId="0" fontId="16" fillId="0" borderId="1" xfId="0" applyFont="1" applyBorder="1" applyAlignment="1">
      <alignment horizontal="left"/>
    </xf>
    <xf numFmtId="0" fontId="16" fillId="3" borderId="1" xfId="0" applyFont="1" applyFill="1" applyBorder="1" applyAlignment="1">
      <alignment horizontal="center"/>
    </xf>
    <xf numFmtId="0" fontId="16" fillId="3" borderId="1" xfId="0" applyFont="1" applyFill="1" applyBorder="1"/>
    <xf numFmtId="17" fontId="16" fillId="0" borderId="1" xfId="0" applyNumberFormat="1" applyFont="1" applyBorder="1" applyAlignment="1">
      <alignment horizontal="left"/>
    </xf>
    <xf numFmtId="165" fontId="17" fillId="0" borderId="1" xfId="1" applyNumberFormat="1" applyFont="1" applyFill="1" applyBorder="1" applyAlignment="1">
      <alignment horizontal="right"/>
    </xf>
    <xf numFmtId="0" fontId="17" fillId="0" borderId="1" xfId="0" applyFont="1" applyBorder="1" applyAlignment="1">
      <alignment horizontal="left"/>
    </xf>
    <xf numFmtId="0" fontId="16" fillId="3" borderId="11" xfId="0" applyFont="1" applyFill="1" applyBorder="1" applyAlignment="1">
      <alignment horizontal="center"/>
    </xf>
    <xf numFmtId="0" fontId="9" fillId="3" borderId="1" xfId="0" applyFont="1" applyFill="1" applyBorder="1"/>
    <xf numFmtId="165" fontId="9" fillId="0" borderId="1" xfId="1" applyNumberFormat="1" applyFont="1" applyFill="1" applyBorder="1"/>
    <xf numFmtId="0" fontId="9" fillId="0" borderId="1" xfId="0" applyFont="1" applyBorder="1" applyAlignment="1">
      <alignment horizontal="left"/>
    </xf>
    <xf numFmtId="0" fontId="7" fillId="0" borderId="1" xfId="2" applyFont="1" applyBorder="1"/>
    <xf numFmtId="0" fontId="16" fillId="0" borderId="1" xfId="2" applyFont="1" applyBorder="1"/>
    <xf numFmtId="165" fontId="12" fillId="0" borderId="1" xfId="1" applyNumberFormat="1" applyFont="1" applyFill="1" applyBorder="1" applyAlignment="1">
      <alignment horizontal="right" wrapText="1"/>
    </xf>
    <xf numFmtId="0" fontId="12" fillId="0" borderId="1" xfId="0" applyFont="1" applyBorder="1" applyAlignment="1">
      <alignment horizontal="left" wrapText="1"/>
    </xf>
    <xf numFmtId="17" fontId="12" fillId="0" borderId="1" xfId="0" applyNumberFormat="1" applyFont="1" applyBorder="1" applyAlignment="1">
      <alignment horizontal="left" wrapText="1"/>
    </xf>
    <xf numFmtId="165" fontId="9" fillId="0" borderId="0" xfId="1" applyNumberFormat="1" applyFont="1"/>
    <xf numFmtId="0" fontId="9" fillId="0" borderId="0" xfId="0" applyFont="1" applyAlignment="1">
      <alignment horizontal="left"/>
    </xf>
    <xf numFmtId="0" fontId="9" fillId="3" borderId="1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166" fontId="12" fillId="0" borderId="8" xfId="0" applyNumberFormat="1" applyFont="1" applyBorder="1" applyAlignment="1">
      <alignment horizontal="center"/>
    </xf>
    <xf numFmtId="165" fontId="7" fillId="3" borderId="1" xfId="1" applyNumberFormat="1" applyFont="1" applyFill="1" applyBorder="1" applyAlignment="1">
      <alignment horizontal="right" wrapText="1"/>
    </xf>
    <xf numFmtId="165" fontId="18" fillId="0" borderId="1" xfId="1" applyNumberFormat="1" applyFont="1" applyFill="1" applyBorder="1" applyAlignment="1">
      <alignment horizontal="right" wrapText="1"/>
    </xf>
    <xf numFmtId="167" fontId="18" fillId="0" borderId="1" xfId="0" applyNumberFormat="1" applyFont="1" applyBorder="1" applyAlignment="1">
      <alignment horizontal="left" wrapText="1"/>
    </xf>
    <xf numFmtId="165" fontId="19" fillId="0" borderId="1" xfId="1" applyNumberFormat="1" applyFont="1" applyFill="1" applyBorder="1" applyAlignment="1">
      <alignment horizontal="right" wrapText="1"/>
    </xf>
    <xf numFmtId="167" fontId="19" fillId="0" borderId="1" xfId="0" applyNumberFormat="1" applyFont="1" applyBorder="1" applyAlignment="1">
      <alignment horizontal="left" wrapText="1"/>
    </xf>
    <xf numFmtId="0" fontId="19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65" fontId="16" fillId="3" borderId="1" xfId="1" applyNumberFormat="1" applyFont="1" applyFill="1" applyBorder="1" applyAlignment="1">
      <alignment horizontal="right" wrapText="1"/>
    </xf>
    <xf numFmtId="165" fontId="19" fillId="0" borderId="1" xfId="1" applyNumberFormat="1" applyFont="1" applyFill="1" applyBorder="1" applyAlignment="1">
      <alignment horizontal="right"/>
    </xf>
    <xf numFmtId="0" fontId="19" fillId="0" borderId="1" xfId="0" applyFont="1" applyBorder="1" applyAlignment="1">
      <alignment horizontal="left"/>
    </xf>
    <xf numFmtId="165" fontId="18" fillId="0" borderId="1" xfId="1" applyNumberFormat="1" applyFont="1" applyFill="1" applyBorder="1" applyAlignment="1">
      <alignment horizontal="right"/>
    </xf>
    <xf numFmtId="0" fontId="18" fillId="0" borderId="1" xfId="0" applyFont="1" applyBorder="1" applyAlignment="1">
      <alignment horizontal="left"/>
    </xf>
    <xf numFmtId="0" fontId="9" fillId="7" borderId="1" xfId="0" applyFont="1" applyFill="1" applyBorder="1" applyAlignment="1">
      <alignment horizontal="center"/>
    </xf>
    <xf numFmtId="49" fontId="7" fillId="7" borderId="1" xfId="2" applyNumberFormat="1" applyFont="1" applyFill="1" applyBorder="1" applyAlignment="1">
      <alignment horizontal="center"/>
    </xf>
    <xf numFmtId="0" fontId="7" fillId="7" borderId="1" xfId="2" applyFont="1" applyFill="1" applyBorder="1"/>
    <xf numFmtId="49" fontId="16" fillId="0" borderId="1" xfId="2" applyNumberFormat="1" applyFont="1" applyBorder="1" applyAlignment="1">
      <alignment horizontal="center"/>
    </xf>
    <xf numFmtId="49" fontId="7" fillId="0" borderId="1" xfId="2" applyNumberFormat="1" applyFont="1" applyBorder="1" applyAlignment="1">
      <alignment horizontal="center"/>
    </xf>
    <xf numFmtId="0" fontId="17" fillId="0" borderId="0" xfId="0" applyFont="1"/>
    <xf numFmtId="0" fontId="16" fillId="0" borderId="0" xfId="0" applyFont="1"/>
    <xf numFmtId="0" fontId="15" fillId="0" borderId="0" xfId="0" applyFont="1"/>
    <xf numFmtId="0" fontId="12" fillId="0" borderId="0" xfId="0" applyFont="1"/>
    <xf numFmtId="0" fontId="17" fillId="0" borderId="3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3" borderId="3" xfId="0" applyFont="1" applyFill="1" applyBorder="1"/>
    <xf numFmtId="165" fontId="20" fillId="3" borderId="3" xfId="1" applyNumberFormat="1" applyFont="1" applyFill="1" applyBorder="1" applyAlignment="1">
      <alignment horizontal="center"/>
    </xf>
    <xf numFmtId="0" fontId="9" fillId="3" borderId="0" xfId="0" applyFont="1" applyFill="1"/>
  </cellXfs>
  <cellStyles count="4">
    <cellStyle name="Milliers" xfId="1" builtinId="3"/>
    <cellStyle name="Normal" xfId="0" builtinId="0"/>
    <cellStyle name="Normal 2" xfId="2" xr:uid="{F94A7963-5E49-431E-AC09-368E87FF543F}"/>
    <cellStyle name="Pourcentag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nshilife-my.sharepoint.com/personal/3240_tenshi_co_in/Documents/My%20Folder/Tenshi/Tenshi%20Tunisa/My%20Folder%20Tunisia/Imported%20Products/PCT%20Details%20(Logexpert)/April%202026/follow%20up%20PCT%202025-2027.xlsx" TargetMode="External"/><Relationship Id="rId1" Type="http://schemas.openxmlformats.org/officeDocument/2006/relationships/externalLinkPath" Target="https://tenshilife-my.sharepoint.com/personal/3240_tenshi_co_in/Documents/My%20Folder/Tenshi/Tenshi%20Tunisa/My%20Folder%20Tunisia/Imported%20Products/PCT%20Details%20(Logexpert)/April%202026/follow%20up%20PCT%202025-2027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3240/AppData/Local/Microsoft/Windows/INetCache/Content.Outlook/GTJBWSI6/follow%20up%20PCT%202025-2027%20(003).xlsx" TargetMode="External"/><Relationship Id="rId1" Type="http://schemas.openxmlformats.org/officeDocument/2006/relationships/externalLinkPath" Target="file:///C:/Users/3240/AppData/Local/Microsoft/Windows/INetCache/Content.Outlook/GTJBWSI6/follow%20up%20PCT%202025-2027%20(00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6-2027"/>
      <sheetName val="2025"/>
      <sheetName val="Sales Data"/>
      <sheetName val="Sheet2"/>
      <sheetName val="Sheet2 (2)"/>
    </sheetNames>
    <sheetDataSet>
      <sheetData sheetId="0">
        <row r="2">
          <cell r="F2">
            <v>5784</v>
          </cell>
        </row>
        <row r="5">
          <cell r="F5">
            <v>1812</v>
          </cell>
        </row>
        <row r="14">
          <cell r="F14">
            <v>406</v>
          </cell>
        </row>
        <row r="20">
          <cell r="F20">
            <v>89</v>
          </cell>
        </row>
        <row r="23">
          <cell r="F23">
            <v>6053</v>
          </cell>
        </row>
        <row r="26">
          <cell r="F26">
            <v>5</v>
          </cell>
        </row>
        <row r="29">
          <cell r="F29">
            <v>709</v>
          </cell>
        </row>
        <row r="32">
          <cell r="F32">
            <v>281</v>
          </cell>
        </row>
        <row r="35">
          <cell r="F35">
            <v>537</v>
          </cell>
        </row>
        <row r="38">
          <cell r="F38">
            <v>270</v>
          </cell>
        </row>
        <row r="44">
          <cell r="F44">
            <v>244</v>
          </cell>
        </row>
        <row r="47">
          <cell r="F47">
            <v>1669</v>
          </cell>
        </row>
        <row r="50">
          <cell r="F50">
            <v>2887</v>
          </cell>
        </row>
        <row r="53">
          <cell r="F53">
            <v>1758</v>
          </cell>
        </row>
        <row r="56">
          <cell r="F56">
            <v>1500</v>
          </cell>
        </row>
        <row r="59">
          <cell r="F59">
            <v>4584</v>
          </cell>
        </row>
        <row r="62">
          <cell r="F62">
            <v>3864</v>
          </cell>
        </row>
        <row r="65">
          <cell r="F65">
            <v>4736</v>
          </cell>
        </row>
        <row r="68">
          <cell r="F68">
            <v>4111</v>
          </cell>
        </row>
        <row r="71">
          <cell r="F71">
            <v>75</v>
          </cell>
        </row>
        <row r="74">
          <cell r="F74">
            <v>358</v>
          </cell>
        </row>
        <row r="77">
          <cell r="F77">
            <v>1511</v>
          </cell>
        </row>
        <row r="80">
          <cell r="F80">
            <v>5364</v>
          </cell>
        </row>
        <row r="83">
          <cell r="F83">
            <v>6644</v>
          </cell>
        </row>
        <row r="86">
          <cell r="F86">
            <v>326</v>
          </cell>
        </row>
        <row r="89">
          <cell r="F89">
            <v>733</v>
          </cell>
        </row>
        <row r="92">
          <cell r="F92">
            <v>541</v>
          </cell>
        </row>
        <row r="95">
          <cell r="F95">
            <v>650</v>
          </cell>
        </row>
        <row r="98">
          <cell r="F98">
            <v>6929</v>
          </cell>
        </row>
        <row r="101">
          <cell r="F101">
            <v>206</v>
          </cell>
        </row>
        <row r="104">
          <cell r="F104">
            <v>765</v>
          </cell>
        </row>
        <row r="107">
          <cell r="F107">
            <v>3746</v>
          </cell>
        </row>
        <row r="110">
          <cell r="F110">
            <v>5900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6-2027"/>
      <sheetName val="2025"/>
    </sheetNames>
    <sheetDataSet>
      <sheetData sheetId="0">
        <row r="2">
          <cell r="S2">
            <v>25500</v>
          </cell>
        </row>
        <row r="5">
          <cell r="S5">
            <v>5061</v>
          </cell>
        </row>
        <row r="14">
          <cell r="S14">
            <v>1852</v>
          </cell>
        </row>
        <row r="20">
          <cell r="S20">
            <v>20</v>
          </cell>
        </row>
        <row r="23">
          <cell r="S23">
            <v>24107</v>
          </cell>
        </row>
        <row r="32">
          <cell r="S32">
            <v>5509</v>
          </cell>
        </row>
        <row r="35">
          <cell r="S35">
            <v>219</v>
          </cell>
        </row>
        <row r="50">
          <cell r="S50">
            <v>22061</v>
          </cell>
        </row>
        <row r="53">
          <cell r="S53">
            <v>4141</v>
          </cell>
        </row>
        <row r="56">
          <cell r="S56">
            <v>611</v>
          </cell>
        </row>
        <row r="59">
          <cell r="S59">
            <v>18271</v>
          </cell>
        </row>
        <row r="62">
          <cell r="S62">
            <v>5434</v>
          </cell>
        </row>
        <row r="65">
          <cell r="S65">
            <v>27117</v>
          </cell>
        </row>
        <row r="68">
          <cell r="S68">
            <v>6246</v>
          </cell>
        </row>
        <row r="71">
          <cell r="S71">
            <v>330</v>
          </cell>
        </row>
        <row r="74">
          <cell r="S74">
            <v>321</v>
          </cell>
        </row>
        <row r="77">
          <cell r="S77">
            <v>5350</v>
          </cell>
        </row>
        <row r="80">
          <cell r="S80">
            <v>11064</v>
          </cell>
        </row>
        <row r="83">
          <cell r="S83">
            <v>23525</v>
          </cell>
        </row>
        <row r="86">
          <cell r="S86">
            <v>1013</v>
          </cell>
        </row>
        <row r="89">
          <cell r="S89">
            <v>2270</v>
          </cell>
        </row>
        <row r="92">
          <cell r="S92">
            <v>1364</v>
          </cell>
        </row>
        <row r="95">
          <cell r="S95">
            <v>2912</v>
          </cell>
        </row>
        <row r="98">
          <cell r="S98">
            <v>29222</v>
          </cell>
        </row>
        <row r="101">
          <cell r="S101">
            <v>280</v>
          </cell>
        </row>
        <row r="104">
          <cell r="S104">
            <v>913</v>
          </cell>
        </row>
        <row r="107">
          <cell r="S107">
            <v>12034</v>
          </cell>
        </row>
        <row r="110">
          <cell r="S110">
            <v>21397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4EB79-D05D-4D25-822A-494826D04560}">
  <sheetPr>
    <tabColor rgb="FF0070C0"/>
  </sheetPr>
  <dimension ref="A1:J29"/>
  <sheetViews>
    <sheetView workbookViewId="0">
      <selection activeCell="F16" sqref="F16"/>
    </sheetView>
  </sheetViews>
  <sheetFormatPr baseColWidth="10" defaultColWidth="8.6640625" defaultRowHeight="12" x14ac:dyDescent="0.2"/>
  <cols>
    <col min="1" max="1" width="24.1640625" style="31" bestFit="1" customWidth="1"/>
    <col min="2" max="2" width="18.5" style="31" customWidth="1"/>
    <col min="3" max="3" width="13.33203125" style="31" customWidth="1"/>
    <col min="4" max="4" width="11.33203125" style="31" customWidth="1"/>
    <col min="5" max="5" width="11.6640625" style="31" bestFit="1" customWidth="1"/>
    <col min="6" max="8" width="10.5" style="31" customWidth="1"/>
    <col min="9" max="9" width="11.6640625" style="31" bestFit="1" customWidth="1"/>
    <col min="10" max="10" width="9.1640625" style="31" bestFit="1" customWidth="1"/>
    <col min="11" max="16384" width="8.6640625" style="31"/>
  </cols>
  <sheetData>
    <row r="1" spans="1:10" x14ac:dyDescent="0.2">
      <c r="A1" s="25" t="s">
        <v>0</v>
      </c>
      <c r="B1" s="26" t="s">
        <v>145</v>
      </c>
      <c r="C1" s="26" t="s">
        <v>138</v>
      </c>
      <c r="D1" s="26" t="s">
        <v>137</v>
      </c>
      <c r="E1" s="26" t="s">
        <v>139</v>
      </c>
      <c r="F1" s="26" t="s">
        <v>137</v>
      </c>
      <c r="G1" s="26" t="s">
        <v>140</v>
      </c>
      <c r="H1" s="26" t="s">
        <v>137</v>
      </c>
      <c r="I1" s="26" t="s">
        <v>157</v>
      </c>
      <c r="J1" s="32" t="s">
        <v>137</v>
      </c>
    </row>
    <row r="2" spans="1:10" x14ac:dyDescent="0.2">
      <c r="A2" s="27" t="s">
        <v>2</v>
      </c>
      <c r="B2" s="28">
        <f>'PCT order to Viatris '!D50</f>
        <v>56000</v>
      </c>
      <c r="C2" s="28" t="str">
        <f>'PCT order to Viatris '!F50</f>
        <v>25GP10I0138</v>
      </c>
      <c r="D2" s="28">
        <f>B2</f>
        <v>56000</v>
      </c>
      <c r="E2" s="28"/>
      <c r="F2" s="28"/>
      <c r="G2" s="28"/>
      <c r="H2" s="28"/>
      <c r="I2" s="28"/>
      <c r="J2" s="33"/>
    </row>
    <row r="3" spans="1:10" x14ac:dyDescent="0.2">
      <c r="A3" s="27" t="s">
        <v>4</v>
      </c>
      <c r="B3" s="28">
        <f>'PCT order to Viatris '!D54</f>
        <v>3600</v>
      </c>
      <c r="C3" s="28" t="str">
        <f>'PCT order to Viatris '!F54</f>
        <v>25GP10I0138</v>
      </c>
      <c r="D3" s="28">
        <f>'PCT order to Viatris '!E54</f>
        <v>3600</v>
      </c>
      <c r="E3" s="28"/>
      <c r="F3" s="28"/>
      <c r="G3" s="28"/>
      <c r="H3" s="28"/>
      <c r="I3" s="28"/>
      <c r="J3" s="33"/>
    </row>
    <row r="4" spans="1:10" x14ac:dyDescent="0.2">
      <c r="A4" s="27" t="s">
        <v>10</v>
      </c>
      <c r="B4" s="28">
        <f>'PCT order to Viatris '!D56</f>
        <v>7200</v>
      </c>
      <c r="C4" s="28" t="str">
        <f>'PCT order to Viatris '!F56</f>
        <v>26AO50I0025</v>
      </c>
      <c r="D4" s="28">
        <f>'PCT order to Viatris '!E56</f>
        <v>7200</v>
      </c>
      <c r="E4" s="28"/>
      <c r="F4" s="28"/>
      <c r="G4" s="28"/>
      <c r="H4" s="28"/>
      <c r="I4" s="28"/>
      <c r="J4" s="33"/>
    </row>
    <row r="5" spans="1:10" x14ac:dyDescent="0.2">
      <c r="A5" s="27" t="s">
        <v>18</v>
      </c>
      <c r="B5" s="28">
        <f>'PCT order to Viatris '!D58</f>
        <v>60</v>
      </c>
      <c r="C5" s="28" t="str">
        <f>'PCT order to Viatris '!F58</f>
        <v>26AO50I0025</v>
      </c>
      <c r="D5" s="28">
        <f>'PCT order to Viatris '!D58</f>
        <v>60</v>
      </c>
      <c r="E5" s="28"/>
      <c r="F5" s="28"/>
      <c r="G5" s="28"/>
      <c r="H5" s="28"/>
      <c r="I5" s="28"/>
      <c r="J5" s="33"/>
    </row>
    <row r="6" spans="1:10" x14ac:dyDescent="0.2">
      <c r="A6" s="27" t="s">
        <v>20</v>
      </c>
      <c r="B6" s="28">
        <f>'PCT order to Viatris '!D60</f>
        <v>6500</v>
      </c>
      <c r="C6" s="28" t="str">
        <f>'PCT order to Viatris '!F60</f>
        <v>25AO50I0012</v>
      </c>
      <c r="D6" s="28">
        <f>'PCT order to Viatris '!E61</f>
        <v>6500</v>
      </c>
      <c r="E6" s="28"/>
      <c r="F6" s="28"/>
      <c r="G6" s="28"/>
      <c r="H6" s="28"/>
      <c r="I6" s="28"/>
      <c r="J6" s="33"/>
    </row>
    <row r="7" spans="1:10" x14ac:dyDescent="0.2">
      <c r="A7" s="27" t="s">
        <v>24</v>
      </c>
      <c r="B7" s="28">
        <f>'PCT order to Viatris '!D62</f>
        <v>2280</v>
      </c>
      <c r="C7" s="28" t="str">
        <f>'PCT order to Viatris '!F62</f>
        <v>26AO50I0041</v>
      </c>
      <c r="D7" s="28">
        <f>'PCT order to Viatris '!E62</f>
        <v>1140</v>
      </c>
      <c r="E7" s="28" t="str">
        <f>'PCT order to Viatris '!H62</f>
        <v>26AO50I0042</v>
      </c>
      <c r="F7" s="28">
        <f>'PCT order to Viatris '!G62</f>
        <v>1140</v>
      </c>
      <c r="G7" s="28"/>
      <c r="H7" s="28"/>
      <c r="I7" s="28"/>
      <c r="J7" s="33"/>
    </row>
    <row r="8" spans="1:10" x14ac:dyDescent="0.2">
      <c r="A8" s="27" t="s">
        <v>34</v>
      </c>
      <c r="B8" s="28">
        <f>'PCT order to Viatris '!D64</f>
        <v>10000</v>
      </c>
      <c r="C8" s="28" t="str">
        <f>'PCT order to Viatris '!F64</f>
        <v>25GG10I0110</v>
      </c>
      <c r="D8" s="28">
        <f>'PCT order to Viatris '!E64</f>
        <v>10000</v>
      </c>
      <c r="E8" s="28"/>
      <c r="F8" s="28"/>
      <c r="G8" s="28"/>
      <c r="H8" s="28"/>
      <c r="I8" s="28"/>
      <c r="J8" s="33"/>
    </row>
    <row r="9" spans="1:10" x14ac:dyDescent="0.2">
      <c r="A9" s="27" t="s">
        <v>36</v>
      </c>
      <c r="B9" s="28">
        <f>'PCT order to Viatris '!D66</f>
        <v>9000</v>
      </c>
      <c r="C9" s="28" t="str">
        <f>'PCT order to Viatris '!F66</f>
        <v>25GP10I0177</v>
      </c>
      <c r="D9" s="28">
        <f>'PCT order to Viatris '!E66</f>
        <v>9000</v>
      </c>
      <c r="E9" s="28"/>
      <c r="F9" s="28"/>
      <c r="G9" s="28"/>
      <c r="H9" s="28"/>
      <c r="I9" s="28"/>
      <c r="J9" s="33"/>
    </row>
    <row r="10" spans="1:10" x14ac:dyDescent="0.2">
      <c r="A10" s="27" t="s">
        <v>38</v>
      </c>
      <c r="B10" s="28">
        <f>'PCT order to Viatris '!D69</f>
        <v>9000</v>
      </c>
      <c r="C10" s="28" t="str">
        <f>'PCT order to Viatris '!F69</f>
        <v>25GP10I0114</v>
      </c>
      <c r="D10" s="28">
        <f>'PCT order to Viatris '!E69</f>
        <v>4000</v>
      </c>
      <c r="E10" s="28" t="str">
        <f>'PCT order to Viatris '!H69</f>
        <v>25GP10I0177</v>
      </c>
      <c r="F10" s="28">
        <f>'PCT order to Viatris '!G69</f>
        <v>5000</v>
      </c>
      <c r="G10" s="28"/>
      <c r="H10" s="28"/>
      <c r="I10" s="28"/>
      <c r="J10" s="33"/>
    </row>
    <row r="11" spans="1:10" x14ac:dyDescent="0.2">
      <c r="A11" s="27" t="s">
        <v>40</v>
      </c>
      <c r="B11" s="28"/>
      <c r="C11" s="28"/>
      <c r="D11" s="28"/>
      <c r="E11" s="28"/>
      <c r="F11" s="28"/>
      <c r="G11" s="28"/>
      <c r="H11" s="28"/>
      <c r="I11" s="28"/>
      <c r="J11" s="33"/>
    </row>
    <row r="12" spans="1:10" x14ac:dyDescent="0.2">
      <c r="A12" s="27" t="s">
        <v>42</v>
      </c>
      <c r="B12" s="28">
        <f>'PCT order to Viatris '!D41</f>
        <v>30000</v>
      </c>
      <c r="C12" s="28" t="str">
        <f>'PCT order to Viatris '!F41</f>
        <v>26MP10I0014</v>
      </c>
      <c r="D12" s="28">
        <f>'PCT order to Viatris '!D41</f>
        <v>30000</v>
      </c>
      <c r="E12" s="28"/>
      <c r="F12" s="28"/>
      <c r="G12" s="28"/>
      <c r="H12" s="28"/>
      <c r="I12" s="28"/>
      <c r="J12" s="33"/>
    </row>
    <row r="13" spans="1:10" x14ac:dyDescent="0.2">
      <c r="A13" s="27" t="s">
        <v>43</v>
      </c>
      <c r="B13" s="28">
        <f>'PCT order to Viatris '!D44</f>
        <v>16718</v>
      </c>
      <c r="C13" s="28" t="str">
        <f>'PCT order to Viatris '!F44</f>
        <v>25GP10I0089</v>
      </c>
      <c r="D13" s="28">
        <f>'PCT order to Viatris '!E44</f>
        <v>6000</v>
      </c>
      <c r="E13" s="28" t="str">
        <f>'PCT order to Viatris '!H44</f>
        <v>25GP10I0161</v>
      </c>
      <c r="F13" s="28">
        <f>'PCT order to Viatris '!G44</f>
        <v>10718</v>
      </c>
      <c r="G13" s="28"/>
      <c r="H13" s="28"/>
      <c r="I13" s="28"/>
      <c r="J13" s="33"/>
    </row>
    <row r="14" spans="1:10" x14ac:dyDescent="0.2">
      <c r="A14" s="27" t="s">
        <v>45</v>
      </c>
      <c r="B14" s="28">
        <f>'PCT order to Viatris '!D48</f>
        <v>40000</v>
      </c>
      <c r="C14" s="28" t="str">
        <f>'PCT order to Viatris '!F48</f>
        <v xml:space="preserve">25GP10I0089 </v>
      </c>
      <c r="D14" s="28">
        <f>'PCT order to Viatris '!E48</f>
        <v>30000</v>
      </c>
      <c r="E14" s="28" t="str">
        <f>'PCT order to Viatris '!H48</f>
        <v>25GP10I0161</v>
      </c>
      <c r="F14" s="28">
        <f>'PCT order to Viatris '!G48</f>
        <v>10000</v>
      </c>
      <c r="G14" s="28"/>
      <c r="H14" s="28"/>
      <c r="I14" s="28"/>
      <c r="J14" s="33"/>
    </row>
    <row r="15" spans="1:10" x14ac:dyDescent="0.2">
      <c r="A15" s="27" t="s">
        <v>47</v>
      </c>
      <c r="B15" s="28">
        <f>'PCT order to Viatris '!D12</f>
        <v>600</v>
      </c>
      <c r="C15" s="28" t="str">
        <f>'PCT order to Viatris '!F12</f>
        <v>26MP10I0002</v>
      </c>
      <c r="D15" s="28">
        <f>'PCT order to Viatris '!E13</f>
        <v>600</v>
      </c>
      <c r="E15" s="28"/>
      <c r="F15" s="28"/>
      <c r="G15" s="28"/>
      <c r="H15" s="28"/>
      <c r="I15" s="28"/>
      <c r="J15" s="33"/>
    </row>
    <row r="16" spans="1:10" x14ac:dyDescent="0.2">
      <c r="A16" s="27" t="s">
        <v>49</v>
      </c>
      <c r="B16" s="28">
        <f>'PCT order to Viatris '!D25</f>
        <v>2500</v>
      </c>
      <c r="C16" s="28" t="str">
        <f>'PCT order to Viatris '!F25</f>
        <v>26MP10I0002</v>
      </c>
      <c r="D16" s="28">
        <f>'PCT order to Viatris '!D25</f>
        <v>2500</v>
      </c>
      <c r="E16" s="28"/>
      <c r="F16" s="28"/>
      <c r="G16" s="28"/>
      <c r="H16" s="28"/>
      <c r="I16" s="28"/>
      <c r="J16" s="33"/>
    </row>
    <row r="17" spans="1:10" x14ac:dyDescent="0.2">
      <c r="A17" s="27" t="s">
        <v>51</v>
      </c>
      <c r="B17" s="28">
        <f>'PCT order to Viatris '!D14</f>
        <v>8000</v>
      </c>
      <c r="C17" s="28" t="str">
        <f>'PCT order to Viatris '!F14</f>
        <v>25GG10I0087</v>
      </c>
      <c r="D17" s="28">
        <f>'PCT order to Viatris '!E14</f>
        <v>2000</v>
      </c>
      <c r="E17" s="28" t="str">
        <f>'PCT order to Viatris '!H14</f>
        <v>25GG10I0126</v>
      </c>
      <c r="F17" s="28">
        <f>'PCT order to Viatris '!G14</f>
        <v>6000</v>
      </c>
      <c r="G17" s="28"/>
      <c r="H17" s="28"/>
      <c r="I17" s="28"/>
      <c r="J17" s="33"/>
    </row>
    <row r="18" spans="1:10" x14ac:dyDescent="0.2">
      <c r="A18" s="27" t="s">
        <v>53</v>
      </c>
      <c r="B18" s="28">
        <f>'PCT order to Viatris '!D17</f>
        <v>34748</v>
      </c>
      <c r="C18" s="28" t="str">
        <f>'PCT order to Viatris '!F17</f>
        <v>25GG10I0087</v>
      </c>
      <c r="D18" s="28">
        <f>'PCT order to Viatris '!E17</f>
        <v>1748</v>
      </c>
      <c r="E18" s="28" t="str">
        <f>'PCT order to Viatris '!H17</f>
        <v>25GG10I0126</v>
      </c>
      <c r="F18" s="28">
        <f>'PCT order to Viatris '!G17</f>
        <v>33000</v>
      </c>
      <c r="G18" s="28"/>
      <c r="H18" s="28"/>
      <c r="I18" s="28"/>
      <c r="J18" s="33"/>
    </row>
    <row r="19" spans="1:10" x14ac:dyDescent="0.2">
      <c r="A19" s="27" t="s">
        <v>55</v>
      </c>
      <c r="B19" s="28">
        <f>'PCT order to Viatris '!D39</f>
        <v>12000</v>
      </c>
      <c r="C19" s="28" t="str">
        <f>'PCT order to Viatris '!F39</f>
        <v>25GG10I0126</v>
      </c>
      <c r="D19" s="28">
        <f>'PCT order to Viatris '!E37</f>
        <v>12000</v>
      </c>
      <c r="E19" s="28"/>
      <c r="F19" s="28"/>
      <c r="G19" s="28"/>
      <c r="H19" s="28"/>
      <c r="I19" s="28"/>
      <c r="J19" s="33"/>
    </row>
    <row r="20" spans="1:10" x14ac:dyDescent="0.2">
      <c r="A20" s="27" t="s">
        <v>57</v>
      </c>
      <c r="B20" s="28">
        <f>'PCT order to Viatris '!D2</f>
        <v>6850</v>
      </c>
      <c r="C20" s="28" t="str">
        <f>'PCT order to Viatris '!F2</f>
        <v>24GG10I0147</v>
      </c>
      <c r="D20" s="28">
        <f>'PCT order to Viatris '!E2</f>
        <v>1250</v>
      </c>
      <c r="E20" s="28" t="str">
        <f>'PCT order to Viatris '!H2</f>
        <v>25GG10I0087</v>
      </c>
      <c r="F20" s="28">
        <f>'PCT order to Viatris '!G2</f>
        <v>4900</v>
      </c>
      <c r="G20" s="28" t="str">
        <f>'PCT order to Viatris '!J2</f>
        <v>25GG10I0126</v>
      </c>
      <c r="H20" s="28">
        <f>'PCT order to Viatris '!I2</f>
        <v>700</v>
      </c>
      <c r="I20" s="28"/>
      <c r="J20" s="33"/>
    </row>
    <row r="21" spans="1:10" x14ac:dyDescent="0.2">
      <c r="A21" s="27" t="s">
        <v>59</v>
      </c>
      <c r="B21" s="28">
        <f>'PCT order to Viatris '!D10</f>
        <v>3200</v>
      </c>
      <c r="C21" s="28" t="str">
        <f>'PCT order to Viatris '!F10</f>
        <v>25GG10I0087</v>
      </c>
      <c r="D21" s="28">
        <f>'PCT order to Viatris '!E10</f>
        <v>1600</v>
      </c>
      <c r="E21" s="28" t="str">
        <f>'PCT order to Viatris '!H10</f>
        <v>25GG10I0126</v>
      </c>
      <c r="F21" s="28">
        <f>'PCT order to Viatris '!G10</f>
        <v>1600</v>
      </c>
      <c r="G21" s="28"/>
      <c r="H21" s="28"/>
      <c r="I21" s="28"/>
      <c r="J21" s="33"/>
    </row>
    <row r="22" spans="1:10" x14ac:dyDescent="0.2">
      <c r="A22" s="27" t="s">
        <v>61</v>
      </c>
      <c r="B22" s="28">
        <f>'PCT order to Viatris '!D20</f>
        <v>3000</v>
      </c>
      <c r="C22" s="28" t="str">
        <f>'PCT order to Viatris '!F20</f>
        <v>25GG10I0087</v>
      </c>
      <c r="D22" s="28">
        <f>'PCT order to Viatris '!E20</f>
        <v>1350</v>
      </c>
      <c r="E22" s="28" t="str">
        <f>'PCT order to Viatris '!H20</f>
        <v>25GG10I0126</v>
      </c>
      <c r="F22" s="28">
        <f>'PCT order to Viatris '!G20</f>
        <v>1650</v>
      </c>
      <c r="G22" s="28"/>
      <c r="H22" s="28"/>
      <c r="I22" s="28"/>
      <c r="J22" s="33"/>
    </row>
    <row r="23" spans="1:10" x14ac:dyDescent="0.2">
      <c r="A23" s="27" t="s">
        <v>63</v>
      </c>
      <c r="B23" s="28">
        <f>'PCT order to Viatris '!D22</f>
        <v>2400</v>
      </c>
      <c r="C23" s="28" t="str">
        <f>'PCT order to Viatris '!F22</f>
        <v xml:space="preserve">25GG10I0087 </v>
      </c>
      <c r="D23" s="28">
        <f>'PCT order to Viatris '!E22</f>
        <v>2400</v>
      </c>
      <c r="E23" s="28"/>
      <c r="F23" s="28"/>
      <c r="G23" s="28"/>
      <c r="H23" s="28"/>
      <c r="I23" s="28"/>
      <c r="J23" s="33"/>
    </row>
    <row r="24" spans="1:10" x14ac:dyDescent="0.2">
      <c r="A24" s="27" t="s">
        <v>65</v>
      </c>
      <c r="B24" s="28">
        <f>'PCT order to Viatris '!D37</f>
        <v>12000</v>
      </c>
      <c r="C24" s="28" t="str">
        <f>'PCT order to Viatris '!F37</f>
        <v>25GG10I0126</v>
      </c>
      <c r="D24" s="28">
        <f>'PCT order to Viatris '!D37</f>
        <v>12000</v>
      </c>
      <c r="E24" s="28"/>
      <c r="F24" s="28"/>
      <c r="G24" s="28"/>
      <c r="H24" s="28"/>
      <c r="I24" s="28"/>
      <c r="J24" s="33"/>
    </row>
    <row r="25" spans="1:10" x14ac:dyDescent="0.2">
      <c r="A25" s="27" t="s">
        <v>67</v>
      </c>
      <c r="B25" s="28">
        <f>'PCT order to Viatris '!D27</f>
        <v>1000</v>
      </c>
      <c r="C25" s="28" t="str">
        <f>'PCT order to Viatris '!F27</f>
        <v>25GP10I0160</v>
      </c>
      <c r="D25" s="28">
        <f>'PCT order to Viatris '!E27</f>
        <v>1000</v>
      </c>
      <c r="E25" s="28"/>
      <c r="F25" s="28"/>
      <c r="G25" s="28"/>
      <c r="H25" s="28"/>
      <c r="I25" s="28"/>
      <c r="J25" s="33"/>
    </row>
    <row r="26" spans="1:10" x14ac:dyDescent="0.2">
      <c r="A26" s="27" t="s">
        <v>69</v>
      </c>
      <c r="B26" s="28">
        <f>'PCT order to Viatris '!D32</f>
        <v>3200</v>
      </c>
      <c r="C26" s="28" t="str">
        <f>'PCT order to Viatris '!F32</f>
        <v>25GP10I0160</v>
      </c>
      <c r="D26" s="28">
        <f>'PCT order to Viatris '!E32</f>
        <v>1920</v>
      </c>
      <c r="E26" s="111" t="str">
        <f>'PCT order to Viatris '!H32</f>
        <v>UG25GP10I0160</v>
      </c>
      <c r="F26" s="111">
        <f>'PCT order to Viatris '!G32</f>
        <v>1280</v>
      </c>
      <c r="G26" s="28"/>
      <c r="H26" s="28"/>
      <c r="I26" s="28"/>
      <c r="J26" s="33"/>
    </row>
    <row r="27" spans="1:10" x14ac:dyDescent="0.2">
      <c r="A27" s="27" t="s">
        <v>71</v>
      </c>
      <c r="B27" s="28">
        <f>'PCT order to Viatris '!D34</f>
        <v>24000</v>
      </c>
      <c r="C27" s="28" t="str">
        <f>'PCT order to Viatris '!F34</f>
        <v xml:space="preserve">25GP10I0102 </v>
      </c>
      <c r="D27" s="28">
        <f>'PCT order to Viatris '!E34</f>
        <v>4875</v>
      </c>
      <c r="E27" s="111" t="str">
        <f>'PCT order to Viatris '!H34</f>
        <v>UG25GP10I0102</v>
      </c>
      <c r="F27" s="111">
        <f>'PCT order to Viatris '!G34</f>
        <v>3125</v>
      </c>
      <c r="G27" s="28" t="str">
        <f>'PCT order to Viatris '!J34</f>
        <v>25GP10I0160</v>
      </c>
      <c r="H27" s="28">
        <f>'PCT order to Viatris '!I34</f>
        <v>10400</v>
      </c>
      <c r="I27" s="111" t="str">
        <f>'PCT order to Viatris '!L34</f>
        <v>UG25GP10I0160</v>
      </c>
      <c r="J27" s="112">
        <f>'PCT order to Viatris '!K34</f>
        <v>5600</v>
      </c>
    </row>
    <row r="28" spans="1:10" x14ac:dyDescent="0.2">
      <c r="A28" s="27" t="s">
        <v>73</v>
      </c>
      <c r="B28" s="28">
        <f>'PCT order to Viatris '!D29</f>
        <v>40925</v>
      </c>
      <c r="C28" s="28" t="str">
        <f>'PCT order to Viatris '!F29</f>
        <v xml:space="preserve">25GP10I0102 </v>
      </c>
      <c r="D28" s="28">
        <f>'PCT order to Viatris '!E29</f>
        <v>9410</v>
      </c>
      <c r="E28" s="111" t="str">
        <f>'PCT order to Viatris '!H29</f>
        <v xml:space="preserve">UG25GP10I0102 </v>
      </c>
      <c r="F28" s="111">
        <f>'PCT order to Viatris '!G29</f>
        <v>5515</v>
      </c>
      <c r="G28" s="28" t="str">
        <f>'PCT order to Viatris '!J29</f>
        <v>25GP10I0160</v>
      </c>
      <c r="H28" s="28">
        <f>'PCT order to Viatris '!I29</f>
        <v>16900</v>
      </c>
      <c r="I28" s="111" t="str">
        <f>'PCT order to Viatris '!L29</f>
        <v>UG25GP10I0160</v>
      </c>
      <c r="J28" s="112">
        <f>'PCT order to Viatris '!K29</f>
        <v>9100</v>
      </c>
    </row>
    <row r="29" spans="1:10" ht="13" thickBot="1" x14ac:dyDescent="0.25">
      <c r="A29" s="29"/>
      <c r="B29" s="34"/>
      <c r="C29" s="34"/>
      <c r="D29" s="34"/>
      <c r="E29" s="34"/>
      <c r="F29" s="34"/>
      <c r="G29" s="34"/>
      <c r="H29" s="34"/>
      <c r="I29" s="113"/>
      <c r="J29" s="114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E45AC-4C56-4FD0-B06C-32E2609BFFC9}">
  <sheetPr>
    <tabColor theme="6"/>
  </sheetPr>
  <dimension ref="A1:O82"/>
  <sheetViews>
    <sheetView topLeftCell="A28" zoomScale="90" zoomScaleNormal="90" workbookViewId="0">
      <selection activeCell="E74" sqref="E74"/>
    </sheetView>
  </sheetViews>
  <sheetFormatPr baseColWidth="10" defaultColWidth="8.6640625" defaultRowHeight="12" x14ac:dyDescent="0.15"/>
  <cols>
    <col min="1" max="1" width="26.6640625" style="3" bestFit="1" customWidth="1"/>
    <col min="2" max="2" width="8.6640625" style="3" customWidth="1"/>
    <col min="3" max="3" width="9.1640625" style="3" customWidth="1"/>
    <col min="4" max="4" width="9.5" style="3" customWidth="1"/>
    <col min="5" max="5" width="9.1640625" style="3" customWidth="1"/>
    <col min="6" max="6" width="7.6640625" style="3" customWidth="1"/>
    <col min="7" max="7" width="8.1640625" style="3" customWidth="1"/>
    <col min="8" max="8" width="8.83203125" style="3" customWidth="1"/>
    <col min="9" max="9" width="7.5" style="3" customWidth="1"/>
    <col min="10" max="10" width="7.33203125" style="3" customWidth="1"/>
    <col min="11" max="11" width="8.6640625" style="3" customWidth="1"/>
    <col min="12" max="12" width="7.5" style="3" customWidth="1"/>
    <col min="13" max="13" width="8.33203125" style="3" customWidth="1"/>
    <col min="14" max="14" width="9.6640625" style="3" customWidth="1"/>
    <col min="15" max="15" width="13.1640625" style="3" customWidth="1"/>
    <col min="16" max="16384" width="8.6640625" style="3"/>
  </cols>
  <sheetData>
    <row r="1" spans="1:14" ht="13" thickBot="1" x14ac:dyDescent="0.2">
      <c r="A1" s="2" t="s">
        <v>80</v>
      </c>
    </row>
    <row r="2" spans="1:14" x14ac:dyDescent="0.15">
      <c r="A2" s="4" t="s">
        <v>0</v>
      </c>
      <c r="B2" s="6">
        <v>45658</v>
      </c>
      <c r="C2" s="6">
        <v>45689</v>
      </c>
      <c r="D2" s="6">
        <v>45717</v>
      </c>
      <c r="E2" s="6">
        <v>45748</v>
      </c>
      <c r="F2" s="6">
        <v>45778</v>
      </c>
      <c r="G2" s="6">
        <v>45809</v>
      </c>
      <c r="H2" s="6">
        <v>45839</v>
      </c>
      <c r="I2" s="6">
        <v>45870</v>
      </c>
      <c r="J2" s="6">
        <v>45901</v>
      </c>
      <c r="K2" s="6">
        <v>45931</v>
      </c>
      <c r="L2" s="6">
        <v>45962</v>
      </c>
      <c r="M2" s="6">
        <v>45992</v>
      </c>
      <c r="N2" s="7" t="s">
        <v>75</v>
      </c>
    </row>
    <row r="3" spans="1:14" x14ac:dyDescent="0.15">
      <c r="A3" s="8" t="s">
        <v>2</v>
      </c>
      <c r="B3" s="23">
        <v>8500</v>
      </c>
      <c r="C3" s="23">
        <v>8500</v>
      </c>
      <c r="D3" s="23"/>
      <c r="E3" s="23">
        <v>8000</v>
      </c>
      <c r="F3" s="23"/>
      <c r="G3" s="23">
        <v>13500</v>
      </c>
      <c r="H3" s="23"/>
      <c r="I3" s="23"/>
      <c r="J3" s="23">
        <v>30000</v>
      </c>
      <c r="K3" s="23"/>
      <c r="L3" s="23"/>
      <c r="M3" s="23">
        <v>10000</v>
      </c>
      <c r="N3" s="89">
        <f>SUM(B3:M3)</f>
        <v>78500</v>
      </c>
    </row>
    <row r="4" spans="1:14" x14ac:dyDescent="0.15">
      <c r="A4" s="8" t="s">
        <v>4</v>
      </c>
      <c r="B4" s="23"/>
      <c r="C4" s="23">
        <v>4800</v>
      </c>
      <c r="D4" s="23"/>
      <c r="E4" s="23">
        <v>3400</v>
      </c>
      <c r="F4" s="23"/>
      <c r="G4" s="23">
        <v>3400</v>
      </c>
      <c r="H4" s="23">
        <v>3400</v>
      </c>
      <c r="I4" s="23"/>
      <c r="J4" s="23">
        <v>8000</v>
      </c>
      <c r="K4" s="23"/>
      <c r="L4" s="23"/>
      <c r="M4" s="23"/>
      <c r="N4" s="21">
        <f t="shared" ref="N4:N39" si="0">SUM(B4:M4)</f>
        <v>23000</v>
      </c>
    </row>
    <row r="5" spans="1:14" x14ac:dyDescent="0.15">
      <c r="A5" s="8" t="s">
        <v>6</v>
      </c>
      <c r="B5" s="22">
        <v>0</v>
      </c>
      <c r="C5" s="22">
        <v>0</v>
      </c>
      <c r="D5" s="22"/>
      <c r="E5" s="22">
        <v>0</v>
      </c>
      <c r="F5" s="22"/>
      <c r="G5" s="22"/>
      <c r="H5" s="22"/>
      <c r="I5" s="22"/>
      <c r="J5" s="22"/>
      <c r="K5" s="22"/>
      <c r="L5" s="22"/>
      <c r="M5" s="22"/>
      <c r="N5" s="21">
        <f t="shared" si="0"/>
        <v>0</v>
      </c>
    </row>
    <row r="6" spans="1:14" x14ac:dyDescent="0.15">
      <c r="A6" s="8" t="s">
        <v>8</v>
      </c>
      <c r="B6" s="23"/>
      <c r="C6" s="23"/>
      <c r="D6" s="23"/>
      <c r="E6" s="23"/>
      <c r="F6" s="23">
        <v>500</v>
      </c>
      <c r="G6" s="23"/>
      <c r="H6" s="23"/>
      <c r="I6" s="23">
        <v>1600</v>
      </c>
      <c r="J6" s="23">
        <v>320</v>
      </c>
      <c r="K6" s="23"/>
      <c r="L6" s="23"/>
      <c r="M6" s="23"/>
      <c r="N6" s="21">
        <f t="shared" si="0"/>
        <v>2420</v>
      </c>
    </row>
    <row r="7" spans="1:14" x14ac:dyDescent="0.15">
      <c r="A7" s="8" t="s">
        <v>10</v>
      </c>
      <c r="B7" s="23"/>
      <c r="C7" s="23">
        <v>2443</v>
      </c>
      <c r="D7" s="23"/>
      <c r="E7" s="23"/>
      <c r="F7" s="23"/>
      <c r="G7" s="23"/>
      <c r="H7" s="23">
        <v>1261</v>
      </c>
      <c r="I7" s="23"/>
      <c r="J7" s="23"/>
      <c r="K7" s="23"/>
      <c r="L7" s="23"/>
      <c r="M7" s="23"/>
      <c r="N7" s="21">
        <f t="shared" si="0"/>
        <v>3704</v>
      </c>
    </row>
    <row r="8" spans="1:14" x14ac:dyDescent="0.15">
      <c r="A8" s="8" t="s">
        <v>12</v>
      </c>
      <c r="B8" s="22">
        <v>0</v>
      </c>
      <c r="C8" s="22">
        <v>0</v>
      </c>
      <c r="D8" s="22">
        <v>0</v>
      </c>
      <c r="E8" s="22"/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/>
      <c r="M8" s="22">
        <v>0</v>
      </c>
      <c r="N8" s="21">
        <f t="shared" si="0"/>
        <v>0</v>
      </c>
    </row>
    <row r="9" spans="1:14" x14ac:dyDescent="0.15">
      <c r="A9" s="8" t="s">
        <v>14</v>
      </c>
      <c r="B9" s="23"/>
      <c r="C9" s="23"/>
      <c r="D9" s="23">
        <v>400</v>
      </c>
      <c r="E9" s="23"/>
      <c r="F9" s="23"/>
      <c r="G9" s="23"/>
      <c r="H9" s="23">
        <v>800</v>
      </c>
      <c r="I9" s="23"/>
      <c r="J9" s="23"/>
      <c r="K9" s="23"/>
      <c r="L9" s="23"/>
      <c r="M9" s="23"/>
      <c r="N9" s="21">
        <f t="shared" si="0"/>
        <v>1200</v>
      </c>
    </row>
    <row r="10" spans="1:14" x14ac:dyDescent="0.15">
      <c r="A10" s="8" t="s">
        <v>16</v>
      </c>
      <c r="B10" s="23"/>
      <c r="C10" s="23"/>
      <c r="D10" s="23"/>
      <c r="E10" s="23">
        <v>24000</v>
      </c>
      <c r="F10" s="23"/>
      <c r="G10" s="23">
        <v>24000</v>
      </c>
      <c r="H10" s="23"/>
      <c r="I10" s="23"/>
      <c r="J10" s="23"/>
      <c r="K10" s="23">
        <v>38400</v>
      </c>
      <c r="L10" s="23"/>
      <c r="M10" s="23"/>
      <c r="N10" s="21">
        <f t="shared" si="0"/>
        <v>86400</v>
      </c>
    </row>
    <row r="11" spans="1:14" x14ac:dyDescent="0.15">
      <c r="A11" s="8" t="s">
        <v>18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>
        <v>0</v>
      </c>
      <c r="N11" s="21">
        <f t="shared" si="0"/>
        <v>0</v>
      </c>
    </row>
    <row r="12" spans="1:14" x14ac:dyDescent="0.15">
      <c r="A12" s="8" t="s">
        <v>20</v>
      </c>
      <c r="B12" s="23"/>
      <c r="C12" s="23"/>
      <c r="D12" s="23"/>
      <c r="E12" s="23">
        <v>3000</v>
      </c>
      <c r="F12" s="23"/>
      <c r="G12" s="23">
        <v>3500</v>
      </c>
      <c r="H12" s="23"/>
      <c r="I12" s="23"/>
      <c r="J12" s="23"/>
      <c r="K12" s="23"/>
      <c r="L12" s="23">
        <v>2000</v>
      </c>
      <c r="M12" s="23"/>
      <c r="N12" s="21">
        <f t="shared" si="0"/>
        <v>8500</v>
      </c>
    </row>
    <row r="13" spans="1:14" x14ac:dyDescent="0.15">
      <c r="A13" s="8" t="s">
        <v>22</v>
      </c>
      <c r="B13" s="23"/>
      <c r="C13" s="23"/>
      <c r="D13" s="23"/>
      <c r="E13" s="23"/>
      <c r="F13" s="23"/>
      <c r="G13" s="23">
        <v>4800</v>
      </c>
      <c r="H13" s="23"/>
      <c r="I13" s="23"/>
      <c r="J13" s="23"/>
      <c r="K13" s="23"/>
      <c r="L13" s="23"/>
      <c r="M13" s="23">
        <v>4800</v>
      </c>
      <c r="N13" s="21">
        <f t="shared" si="0"/>
        <v>9600</v>
      </c>
    </row>
    <row r="14" spans="1:14" x14ac:dyDescent="0.15">
      <c r="A14" s="8" t="s">
        <v>24</v>
      </c>
      <c r="B14" s="23"/>
      <c r="C14" s="23">
        <v>900</v>
      </c>
      <c r="D14" s="23"/>
      <c r="E14" s="23"/>
      <c r="F14" s="23">
        <v>1140</v>
      </c>
      <c r="G14" s="23"/>
      <c r="H14" s="23"/>
      <c r="I14" s="23">
        <v>1140</v>
      </c>
      <c r="J14" s="23"/>
      <c r="K14" s="23"/>
      <c r="L14" s="23"/>
      <c r="M14" s="23">
        <v>2280</v>
      </c>
      <c r="N14" s="21">
        <f t="shared" si="0"/>
        <v>5460</v>
      </c>
    </row>
    <row r="15" spans="1:14" x14ac:dyDescent="0.15">
      <c r="A15" s="8" t="s">
        <v>26</v>
      </c>
      <c r="B15" s="23">
        <v>3780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1">
        <f t="shared" si="0"/>
        <v>3780</v>
      </c>
    </row>
    <row r="16" spans="1:14" x14ac:dyDescent="0.15">
      <c r="A16" s="8" t="s">
        <v>28</v>
      </c>
      <c r="B16" s="22">
        <v>0</v>
      </c>
      <c r="C16" s="22"/>
      <c r="D16" s="22">
        <v>0</v>
      </c>
      <c r="E16" s="22"/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1">
        <f t="shared" si="0"/>
        <v>0</v>
      </c>
    </row>
    <row r="17" spans="1:14" x14ac:dyDescent="0.15">
      <c r="A17" s="8" t="s">
        <v>30</v>
      </c>
      <c r="B17" s="23"/>
      <c r="C17" s="23"/>
      <c r="D17" s="23"/>
      <c r="E17" s="23"/>
      <c r="F17" s="23"/>
      <c r="G17" s="23">
        <v>2737</v>
      </c>
      <c r="H17" s="23"/>
      <c r="I17" s="23"/>
      <c r="J17" s="23"/>
      <c r="K17" s="23"/>
      <c r="L17" s="23"/>
      <c r="M17" s="23"/>
      <c r="N17" s="21">
        <f t="shared" si="0"/>
        <v>2737</v>
      </c>
    </row>
    <row r="18" spans="1:14" x14ac:dyDescent="0.15">
      <c r="A18" s="8" t="s">
        <v>32</v>
      </c>
      <c r="B18" s="23"/>
      <c r="C18" s="23">
        <v>12852</v>
      </c>
      <c r="D18" s="23">
        <v>7757</v>
      </c>
      <c r="E18" s="23"/>
      <c r="F18" s="23"/>
      <c r="G18" s="23"/>
      <c r="H18" s="23"/>
      <c r="I18" s="23"/>
      <c r="J18" s="23">
        <v>243</v>
      </c>
      <c r="K18" s="23"/>
      <c r="L18" s="23"/>
      <c r="M18" s="23"/>
      <c r="N18" s="21">
        <f t="shared" si="0"/>
        <v>20852</v>
      </c>
    </row>
    <row r="19" spans="1:14" x14ac:dyDescent="0.15">
      <c r="A19" s="8" t="s">
        <v>34</v>
      </c>
      <c r="B19" s="23"/>
      <c r="C19" s="23">
        <v>11000</v>
      </c>
      <c r="D19" s="23">
        <v>7000</v>
      </c>
      <c r="E19" s="23">
        <v>11250</v>
      </c>
      <c r="F19" s="23"/>
      <c r="G19" s="23">
        <v>11250</v>
      </c>
      <c r="H19" s="23"/>
      <c r="I19" s="23"/>
      <c r="J19" s="23">
        <v>8726</v>
      </c>
      <c r="K19" s="23"/>
      <c r="L19" s="23">
        <f>1274+10000</f>
        <v>11274</v>
      </c>
      <c r="M19" s="23"/>
      <c r="N19" s="21">
        <f t="shared" si="0"/>
        <v>60500</v>
      </c>
    </row>
    <row r="20" spans="1:14" x14ac:dyDescent="0.15">
      <c r="A20" s="8" t="s">
        <v>36</v>
      </c>
      <c r="B20" s="23"/>
      <c r="C20" s="23"/>
      <c r="D20" s="23">
        <v>5500</v>
      </c>
      <c r="E20" s="23"/>
      <c r="F20" s="23"/>
      <c r="G20" s="23"/>
      <c r="H20" s="23">
        <v>7000</v>
      </c>
      <c r="I20" s="23"/>
      <c r="J20" s="23"/>
      <c r="K20" s="23"/>
      <c r="L20" s="23"/>
      <c r="M20" s="23">
        <v>2000</v>
      </c>
      <c r="N20" s="21">
        <f t="shared" si="0"/>
        <v>14500</v>
      </c>
    </row>
    <row r="21" spans="1:14" x14ac:dyDescent="0.15">
      <c r="A21" s="8" t="s">
        <v>38</v>
      </c>
      <c r="B21" s="23"/>
      <c r="C21" s="23"/>
      <c r="D21" s="23">
        <v>3500</v>
      </c>
      <c r="E21" s="23"/>
      <c r="F21" s="23"/>
      <c r="G21" s="23">
        <v>6500</v>
      </c>
      <c r="H21" s="23"/>
      <c r="I21" s="23"/>
      <c r="J21" s="23"/>
      <c r="K21" s="23">
        <v>1530</v>
      </c>
      <c r="L21" s="23">
        <v>170</v>
      </c>
      <c r="M21" s="23"/>
      <c r="N21" s="21">
        <f t="shared" si="0"/>
        <v>11700</v>
      </c>
    </row>
    <row r="22" spans="1:14" x14ac:dyDescent="0.15">
      <c r="A22" s="8" t="s">
        <v>40</v>
      </c>
      <c r="B22" s="23"/>
      <c r="C22" s="23"/>
      <c r="D22" s="23">
        <v>13500</v>
      </c>
      <c r="E22" s="23">
        <v>4985</v>
      </c>
      <c r="F22" s="23"/>
      <c r="G22" s="23">
        <v>15015</v>
      </c>
      <c r="H22" s="23"/>
      <c r="I22" s="23"/>
      <c r="J22" s="23"/>
      <c r="K22" s="23"/>
      <c r="L22" s="23">
        <v>10000</v>
      </c>
      <c r="M22" s="23"/>
      <c r="N22" s="21">
        <f t="shared" si="0"/>
        <v>43500</v>
      </c>
    </row>
    <row r="23" spans="1:14" x14ac:dyDescent="0.15">
      <c r="A23" s="8" t="s">
        <v>42</v>
      </c>
      <c r="B23" s="23"/>
      <c r="C23" s="23"/>
      <c r="D23" s="23">
        <v>10000</v>
      </c>
      <c r="E23" s="23">
        <v>10000</v>
      </c>
      <c r="F23" s="23"/>
      <c r="G23" s="23"/>
      <c r="H23" s="23"/>
      <c r="I23" s="23">
        <v>9827</v>
      </c>
      <c r="J23" s="23">
        <v>10000</v>
      </c>
      <c r="K23" s="23"/>
      <c r="L23" s="23"/>
      <c r="M23" s="23">
        <v>10000</v>
      </c>
      <c r="N23" s="21">
        <f t="shared" si="0"/>
        <v>49827</v>
      </c>
    </row>
    <row r="24" spans="1:14" x14ac:dyDescent="0.15">
      <c r="A24" s="8" t="s">
        <v>43</v>
      </c>
      <c r="B24" s="23">
        <f>9200+9200</f>
        <v>18400</v>
      </c>
      <c r="C24" s="23"/>
      <c r="D24" s="23">
        <f>18000+10000</f>
        <v>28000</v>
      </c>
      <c r="E24" s="23"/>
      <c r="F24" s="23"/>
      <c r="G24" s="23">
        <f>16000+10000</f>
        <v>26000</v>
      </c>
      <c r="H24" s="23"/>
      <c r="I24" s="23"/>
      <c r="J24" s="23"/>
      <c r="K24" s="23">
        <f>5457+10000</f>
        <v>15457</v>
      </c>
      <c r="L24" s="23"/>
      <c r="M24" s="23"/>
      <c r="N24" s="21">
        <f t="shared" si="0"/>
        <v>87857</v>
      </c>
    </row>
    <row r="25" spans="1:14" x14ac:dyDescent="0.15">
      <c r="A25" s="8" t="s">
        <v>45</v>
      </c>
      <c r="B25" s="23"/>
      <c r="C25" s="23"/>
      <c r="D25" s="23">
        <v>10000</v>
      </c>
      <c r="E25" s="23"/>
      <c r="F25" s="23">
        <v>7500</v>
      </c>
      <c r="G25" s="23"/>
      <c r="H25" s="23"/>
      <c r="I25" s="23">
        <v>2500</v>
      </c>
      <c r="J25" s="23">
        <v>9985</v>
      </c>
      <c r="K25" s="23">
        <v>10000</v>
      </c>
      <c r="L25" s="23">
        <v>5000</v>
      </c>
      <c r="M25" s="23"/>
      <c r="N25" s="21">
        <f t="shared" si="0"/>
        <v>44985</v>
      </c>
    </row>
    <row r="26" spans="1:14" x14ac:dyDescent="0.15">
      <c r="A26" s="8" t="s">
        <v>47</v>
      </c>
      <c r="B26" s="23"/>
      <c r="C26" s="23"/>
      <c r="D26" s="23"/>
      <c r="E26" s="23">
        <v>500</v>
      </c>
      <c r="F26" s="23"/>
      <c r="G26" s="23"/>
      <c r="H26" s="23"/>
      <c r="I26" s="23"/>
      <c r="J26" s="23"/>
      <c r="K26" s="23"/>
      <c r="L26" s="23"/>
      <c r="M26" s="23"/>
      <c r="N26" s="21">
        <f t="shared" si="0"/>
        <v>500</v>
      </c>
    </row>
    <row r="27" spans="1:14" x14ac:dyDescent="0.15">
      <c r="A27" s="8" t="s">
        <v>49</v>
      </c>
      <c r="B27" s="23"/>
      <c r="C27" s="23"/>
      <c r="D27" s="23"/>
      <c r="E27" s="23">
        <v>3000</v>
      </c>
      <c r="F27" s="23"/>
      <c r="G27" s="23"/>
      <c r="H27" s="23"/>
      <c r="I27" s="23"/>
      <c r="J27" s="23"/>
      <c r="K27" s="23"/>
      <c r="L27" s="23"/>
      <c r="M27" s="23"/>
      <c r="N27" s="21">
        <f t="shared" si="0"/>
        <v>3000</v>
      </c>
    </row>
    <row r="28" spans="1:14" x14ac:dyDescent="0.15">
      <c r="A28" s="8" t="s">
        <v>51</v>
      </c>
      <c r="B28" s="23"/>
      <c r="C28" s="23">
        <v>4200</v>
      </c>
      <c r="D28" s="23"/>
      <c r="E28" s="23"/>
      <c r="F28" s="23"/>
      <c r="G28" s="23">
        <v>1200</v>
      </c>
      <c r="H28" s="23"/>
      <c r="I28" s="23">
        <v>6000</v>
      </c>
      <c r="J28" s="23"/>
      <c r="K28" s="23"/>
      <c r="L28" s="23"/>
      <c r="M28" s="23"/>
      <c r="N28" s="21">
        <f t="shared" si="0"/>
        <v>11400</v>
      </c>
    </row>
    <row r="29" spans="1:14" x14ac:dyDescent="0.15">
      <c r="A29" s="8" t="s">
        <v>53</v>
      </c>
      <c r="B29" s="23"/>
      <c r="C29" s="23">
        <v>20220</v>
      </c>
      <c r="D29" s="23"/>
      <c r="E29" s="23"/>
      <c r="F29" s="23"/>
      <c r="G29" s="23">
        <v>23040</v>
      </c>
      <c r="H29" s="23"/>
      <c r="I29" s="23"/>
      <c r="J29" s="23">
        <v>11520</v>
      </c>
      <c r="K29" s="23"/>
      <c r="L29" s="23"/>
      <c r="M29" s="23"/>
      <c r="N29" s="21">
        <f t="shared" si="0"/>
        <v>54780</v>
      </c>
    </row>
    <row r="30" spans="1:14" x14ac:dyDescent="0.15">
      <c r="A30" s="8" t="s">
        <v>55</v>
      </c>
      <c r="B30" s="23"/>
      <c r="C30" s="23"/>
      <c r="D30" s="23"/>
      <c r="E30" s="23">
        <v>23000</v>
      </c>
      <c r="F30" s="23"/>
      <c r="G30" s="23"/>
      <c r="H30" s="23">
        <v>10000</v>
      </c>
      <c r="I30" s="23">
        <v>10000</v>
      </c>
      <c r="J30" s="23"/>
      <c r="K30" s="23">
        <v>21000</v>
      </c>
      <c r="L30" s="23"/>
      <c r="M30" s="23"/>
      <c r="N30" s="21">
        <f t="shared" si="0"/>
        <v>64000</v>
      </c>
    </row>
    <row r="31" spans="1:14" x14ac:dyDescent="0.15">
      <c r="A31" s="8" t="s">
        <v>57</v>
      </c>
      <c r="B31" s="23"/>
      <c r="C31" s="23"/>
      <c r="D31" s="23"/>
      <c r="E31" s="23"/>
      <c r="F31" s="23"/>
      <c r="G31" s="23"/>
      <c r="H31" s="23">
        <v>1960</v>
      </c>
      <c r="I31" s="23"/>
      <c r="J31" s="23">
        <v>1500</v>
      </c>
      <c r="K31" s="23"/>
      <c r="L31" s="23"/>
      <c r="M31" s="23"/>
      <c r="N31" s="21">
        <f t="shared" si="0"/>
        <v>3460</v>
      </c>
    </row>
    <row r="32" spans="1:14" x14ac:dyDescent="0.15">
      <c r="A32" s="8" t="s">
        <v>59</v>
      </c>
      <c r="B32" s="23"/>
      <c r="C32" s="23">
        <v>3220</v>
      </c>
      <c r="D32" s="23"/>
      <c r="E32" s="23"/>
      <c r="F32" s="23"/>
      <c r="G32" s="23"/>
      <c r="H32" s="23">
        <v>1590</v>
      </c>
      <c r="I32" s="23"/>
      <c r="J32" s="23">
        <v>1700</v>
      </c>
      <c r="K32" s="23"/>
      <c r="L32" s="23"/>
      <c r="M32" s="23"/>
      <c r="N32" s="21">
        <f t="shared" si="0"/>
        <v>6510</v>
      </c>
    </row>
    <row r="33" spans="1:15" x14ac:dyDescent="0.15">
      <c r="A33" s="8" t="s">
        <v>61</v>
      </c>
      <c r="B33" s="23"/>
      <c r="C33" s="23">
        <v>3000</v>
      </c>
      <c r="D33" s="23"/>
      <c r="E33" s="23"/>
      <c r="F33" s="23"/>
      <c r="G33" s="23"/>
      <c r="H33" s="23">
        <v>1000</v>
      </c>
      <c r="I33" s="23"/>
      <c r="J33" s="23">
        <v>800</v>
      </c>
      <c r="K33" s="23"/>
      <c r="L33" s="23"/>
      <c r="M33" s="23"/>
      <c r="N33" s="21">
        <f t="shared" si="0"/>
        <v>4800</v>
      </c>
    </row>
    <row r="34" spans="1:15" x14ac:dyDescent="0.15">
      <c r="A34" s="8" t="s">
        <v>63</v>
      </c>
      <c r="B34" s="23"/>
      <c r="C34" s="23"/>
      <c r="D34" s="23"/>
      <c r="E34" s="23"/>
      <c r="F34" s="23"/>
      <c r="G34" s="23"/>
      <c r="H34" s="23">
        <v>3500</v>
      </c>
      <c r="I34" s="23"/>
      <c r="J34" s="23"/>
      <c r="K34" s="23"/>
      <c r="L34" s="23"/>
      <c r="M34" s="23">
        <v>500</v>
      </c>
      <c r="N34" s="21">
        <f t="shared" si="0"/>
        <v>4000</v>
      </c>
    </row>
    <row r="35" spans="1:15" x14ac:dyDescent="0.15">
      <c r="A35" s="8" t="s">
        <v>65</v>
      </c>
      <c r="B35" s="23"/>
      <c r="C35" s="23">
        <v>20618</v>
      </c>
      <c r="D35" s="23"/>
      <c r="E35" s="23"/>
      <c r="F35" s="23">
        <v>20647</v>
      </c>
      <c r="G35" s="23"/>
      <c r="H35" s="23">
        <v>23608</v>
      </c>
      <c r="I35" s="23"/>
      <c r="J35" s="23"/>
      <c r="K35" s="23">
        <v>8000</v>
      </c>
      <c r="L35" s="23"/>
      <c r="M35" s="23"/>
      <c r="N35" s="21">
        <f t="shared" si="0"/>
        <v>72873</v>
      </c>
    </row>
    <row r="36" spans="1:15" x14ac:dyDescent="0.15">
      <c r="A36" s="8" t="s">
        <v>67</v>
      </c>
      <c r="B36" s="23"/>
      <c r="C36" s="23"/>
      <c r="D36" s="23"/>
      <c r="E36" s="23">
        <v>1000</v>
      </c>
      <c r="F36" s="23"/>
      <c r="G36" s="23">
        <v>180</v>
      </c>
      <c r="H36" s="23"/>
      <c r="I36" s="23"/>
      <c r="J36" s="23"/>
      <c r="K36" s="23">
        <v>400</v>
      </c>
      <c r="L36" s="23"/>
      <c r="M36" s="23"/>
      <c r="N36" s="21">
        <f t="shared" si="0"/>
        <v>1580</v>
      </c>
    </row>
    <row r="37" spans="1:15" x14ac:dyDescent="0.15">
      <c r="A37" s="8" t="s">
        <v>69</v>
      </c>
      <c r="B37" s="23"/>
      <c r="C37" s="23"/>
      <c r="D37" s="23"/>
      <c r="E37" s="23"/>
      <c r="F37" s="23"/>
      <c r="G37" s="23">
        <f>1460+2504</f>
        <v>3964</v>
      </c>
      <c r="H37" s="23">
        <v>1620</v>
      </c>
      <c r="I37" s="23"/>
      <c r="J37" s="23"/>
      <c r="K37" s="23"/>
      <c r="L37" s="23"/>
      <c r="M37" s="23"/>
      <c r="N37" s="21">
        <f t="shared" si="0"/>
        <v>5584</v>
      </c>
    </row>
    <row r="38" spans="1:15" x14ac:dyDescent="0.15">
      <c r="A38" s="8" t="s">
        <v>71</v>
      </c>
      <c r="B38" s="23"/>
      <c r="C38" s="23"/>
      <c r="D38" s="23">
        <f>5600+9300</f>
        <v>14900</v>
      </c>
      <c r="E38" s="23"/>
      <c r="F38" s="23"/>
      <c r="G38" s="23">
        <f>10400+5600</f>
        <v>16000</v>
      </c>
      <c r="H38" s="23"/>
      <c r="I38" s="23"/>
      <c r="J38" s="23"/>
      <c r="K38" s="23"/>
      <c r="L38" s="23"/>
      <c r="M38" s="23">
        <v>8000</v>
      </c>
      <c r="N38" s="21">
        <f t="shared" si="0"/>
        <v>38900</v>
      </c>
    </row>
    <row r="39" spans="1:15" x14ac:dyDescent="0.15">
      <c r="A39" s="8" t="s">
        <v>73</v>
      </c>
      <c r="B39" s="23"/>
      <c r="C39" s="23"/>
      <c r="D39" s="23">
        <f>5075+9750</f>
        <v>14825</v>
      </c>
      <c r="E39" s="23"/>
      <c r="F39" s="23"/>
      <c r="G39" s="23">
        <v>4375</v>
      </c>
      <c r="H39" s="23">
        <f>5085+10000</f>
        <v>15085</v>
      </c>
      <c r="I39" s="23"/>
      <c r="J39" s="23">
        <f>11400+5990</f>
        <v>17390</v>
      </c>
      <c r="K39" s="23"/>
      <c r="L39" s="23"/>
      <c r="M39" s="23">
        <v>10000</v>
      </c>
      <c r="N39" s="21">
        <f t="shared" si="0"/>
        <v>61675</v>
      </c>
    </row>
    <row r="40" spans="1:15" ht="13" thickBot="1" x14ac:dyDescent="0.2">
      <c r="A40" s="12"/>
      <c r="B40" s="14">
        <f t="shared" ref="B40:M40" si="1">SUM(B3:B39)</f>
        <v>30680</v>
      </c>
      <c r="C40" s="14">
        <f t="shared" si="1"/>
        <v>91753</v>
      </c>
      <c r="D40" s="14">
        <f t="shared" si="1"/>
        <v>115382</v>
      </c>
      <c r="E40" s="14">
        <f t="shared" si="1"/>
        <v>92135</v>
      </c>
      <c r="F40" s="14">
        <f t="shared" si="1"/>
        <v>29787</v>
      </c>
      <c r="G40" s="14">
        <f t="shared" si="1"/>
        <v>159461</v>
      </c>
      <c r="H40" s="14">
        <f t="shared" si="1"/>
        <v>70824</v>
      </c>
      <c r="I40" s="14">
        <f t="shared" si="1"/>
        <v>31067</v>
      </c>
      <c r="J40" s="14">
        <f t="shared" si="1"/>
        <v>100184</v>
      </c>
      <c r="K40" s="14">
        <f t="shared" si="1"/>
        <v>94787</v>
      </c>
      <c r="L40" s="14">
        <f t="shared" si="1"/>
        <v>28444</v>
      </c>
      <c r="M40" s="14">
        <f t="shared" si="1"/>
        <v>47580</v>
      </c>
      <c r="N40" s="40">
        <f>SUM(N3:N39)</f>
        <v>892084</v>
      </c>
    </row>
    <row r="43" spans="1:15" ht="13" thickBot="1" x14ac:dyDescent="0.2">
      <c r="A43" s="2" t="s">
        <v>81</v>
      </c>
    </row>
    <row r="44" spans="1:15" ht="26" x14ac:dyDescent="0.15">
      <c r="A44" s="4" t="s">
        <v>0</v>
      </c>
      <c r="B44" s="6">
        <v>46023</v>
      </c>
      <c r="C44" s="6">
        <v>46054</v>
      </c>
      <c r="D44" s="6">
        <v>46082</v>
      </c>
      <c r="E44" s="6">
        <v>46113</v>
      </c>
      <c r="F44" s="6">
        <v>46143</v>
      </c>
      <c r="G44" s="6">
        <v>46174</v>
      </c>
      <c r="H44" s="6">
        <v>46204</v>
      </c>
      <c r="I44" s="6">
        <v>46235</v>
      </c>
      <c r="J44" s="6">
        <v>46266</v>
      </c>
      <c r="K44" s="6">
        <v>46296</v>
      </c>
      <c r="L44" s="6">
        <v>46327</v>
      </c>
      <c r="M44" s="6">
        <v>46357</v>
      </c>
      <c r="N44" s="7" t="s">
        <v>78</v>
      </c>
      <c r="O44" s="20" t="s">
        <v>79</v>
      </c>
    </row>
    <row r="45" spans="1:15" x14ac:dyDescent="0.15">
      <c r="A45" s="8" t="s">
        <v>2</v>
      </c>
      <c r="B45" s="23"/>
      <c r="C45" s="23">
        <v>13000</v>
      </c>
      <c r="D45" s="23"/>
      <c r="E45" s="23">
        <v>10000</v>
      </c>
      <c r="F45" s="24"/>
      <c r="G45" s="24"/>
      <c r="H45" s="24"/>
      <c r="I45" s="24"/>
      <c r="J45" s="24"/>
      <c r="K45" s="24"/>
      <c r="L45" s="24"/>
      <c r="M45" s="24"/>
      <c r="N45" s="39">
        <f>SUM(B45:M45)</f>
        <v>23000</v>
      </c>
      <c r="O45" s="19">
        <f>N45/N3</f>
        <v>0.2929936305732484</v>
      </c>
    </row>
    <row r="46" spans="1:15" x14ac:dyDescent="0.15">
      <c r="A46" s="8" t="s">
        <v>4</v>
      </c>
      <c r="B46" s="23"/>
      <c r="C46" s="23"/>
      <c r="D46" s="23">
        <v>5000</v>
      </c>
      <c r="E46" s="24"/>
      <c r="F46" s="24"/>
      <c r="G46" s="24"/>
      <c r="H46" s="24"/>
      <c r="I46" s="24"/>
      <c r="J46" s="24"/>
      <c r="K46" s="24"/>
      <c r="L46" s="24"/>
      <c r="M46" s="24"/>
      <c r="N46" s="39">
        <f t="shared" ref="N46:N81" si="2">SUM(B46:M46)</f>
        <v>5000</v>
      </c>
      <c r="O46" s="19">
        <f>N46/N4</f>
        <v>0.21739130434782608</v>
      </c>
    </row>
    <row r="47" spans="1:15" x14ac:dyDescent="0.15">
      <c r="A47" s="8" t="s">
        <v>6</v>
      </c>
      <c r="B47" s="22"/>
      <c r="C47" s="22">
        <v>0</v>
      </c>
      <c r="D47" s="22">
        <v>0</v>
      </c>
      <c r="E47" s="24"/>
      <c r="F47" s="24"/>
      <c r="G47" s="24"/>
      <c r="H47" s="24"/>
      <c r="I47" s="24"/>
      <c r="J47" s="24"/>
      <c r="K47" s="24"/>
      <c r="L47" s="24"/>
      <c r="M47" s="24"/>
      <c r="N47" s="39">
        <f t="shared" si="2"/>
        <v>0</v>
      </c>
    </row>
    <row r="48" spans="1:15" x14ac:dyDescent="0.15">
      <c r="A48" s="8" t="s">
        <v>8</v>
      </c>
      <c r="B48" s="22"/>
      <c r="C48" s="22">
        <v>0</v>
      </c>
      <c r="D48" s="22">
        <v>0</v>
      </c>
      <c r="E48" s="24"/>
      <c r="F48" s="24"/>
      <c r="G48" s="24"/>
      <c r="H48" s="24"/>
      <c r="I48" s="24"/>
      <c r="J48" s="24"/>
      <c r="K48" s="24"/>
      <c r="L48" s="24"/>
      <c r="M48" s="24"/>
      <c r="N48" s="39">
        <f t="shared" si="2"/>
        <v>0</v>
      </c>
    </row>
    <row r="49" spans="1:15" x14ac:dyDescent="0.15">
      <c r="A49" s="8" t="s">
        <v>10</v>
      </c>
      <c r="B49" s="23"/>
      <c r="C49" s="23">
        <v>4224</v>
      </c>
      <c r="D49" s="22"/>
      <c r="E49" s="24"/>
      <c r="F49" s="24"/>
      <c r="G49" s="24"/>
      <c r="H49" s="24"/>
      <c r="I49" s="24"/>
      <c r="J49" s="24"/>
      <c r="K49" s="24"/>
      <c r="L49" s="24"/>
      <c r="M49" s="24"/>
      <c r="N49" s="39">
        <f t="shared" si="2"/>
        <v>4224</v>
      </c>
      <c r="O49" s="19">
        <f>N49/N7</f>
        <v>1.1403887688984882</v>
      </c>
    </row>
    <row r="50" spans="1:15" x14ac:dyDescent="0.15">
      <c r="A50" s="8" t="s">
        <v>12</v>
      </c>
      <c r="B50" s="22"/>
      <c r="C50" s="22"/>
      <c r="D50" s="22"/>
      <c r="E50" s="24"/>
      <c r="F50" s="24"/>
      <c r="G50" s="24"/>
      <c r="H50" s="24"/>
      <c r="I50" s="24"/>
      <c r="J50" s="24"/>
      <c r="K50" s="24"/>
      <c r="L50" s="24"/>
      <c r="M50" s="24"/>
      <c r="N50" s="39">
        <f t="shared" si="2"/>
        <v>0</v>
      </c>
    </row>
    <row r="51" spans="1:15" x14ac:dyDescent="0.15">
      <c r="A51" s="8" t="s">
        <v>14</v>
      </c>
      <c r="B51" s="22"/>
      <c r="C51" s="22"/>
      <c r="D51" s="22"/>
      <c r="E51" s="24"/>
      <c r="F51" s="24"/>
      <c r="G51" s="24"/>
      <c r="H51" s="24"/>
      <c r="I51" s="24"/>
      <c r="J51" s="24"/>
      <c r="K51" s="24"/>
      <c r="L51" s="24"/>
      <c r="M51" s="24"/>
      <c r="N51" s="39">
        <f t="shared" si="2"/>
        <v>0</v>
      </c>
      <c r="O51" s="19">
        <f>N51/N9</f>
        <v>0</v>
      </c>
    </row>
    <row r="52" spans="1:15" x14ac:dyDescent="0.15">
      <c r="A52" s="8" t="s">
        <v>16</v>
      </c>
      <c r="B52" s="22"/>
      <c r="C52" s="22"/>
      <c r="D52" s="22"/>
      <c r="E52" s="24"/>
      <c r="F52" s="24"/>
      <c r="G52" s="24"/>
      <c r="H52" s="24"/>
      <c r="I52" s="24"/>
      <c r="J52" s="24"/>
      <c r="K52" s="24"/>
      <c r="L52" s="24"/>
      <c r="M52" s="24"/>
      <c r="N52" s="39">
        <f t="shared" si="2"/>
        <v>0</v>
      </c>
      <c r="O52" s="19">
        <f>N52/N10</f>
        <v>0</v>
      </c>
    </row>
    <row r="53" spans="1:15" x14ac:dyDescent="0.15">
      <c r="A53" s="8" t="s">
        <v>18</v>
      </c>
      <c r="B53" s="22"/>
      <c r="C53" s="22"/>
      <c r="D53" s="22"/>
      <c r="E53" s="24"/>
      <c r="F53" s="24"/>
      <c r="G53" s="24"/>
      <c r="H53" s="24"/>
      <c r="I53" s="24"/>
      <c r="J53" s="24"/>
      <c r="K53" s="24"/>
      <c r="L53" s="24"/>
      <c r="M53" s="24"/>
      <c r="N53" s="39">
        <f t="shared" si="2"/>
        <v>0</v>
      </c>
    </row>
    <row r="54" spans="1:15" x14ac:dyDescent="0.15">
      <c r="A54" s="8" t="s">
        <v>20</v>
      </c>
      <c r="B54" s="22"/>
      <c r="C54" s="22"/>
      <c r="D54" s="22"/>
      <c r="E54" s="24"/>
      <c r="F54" s="24"/>
      <c r="G54" s="24"/>
      <c r="H54" s="24"/>
      <c r="I54" s="24"/>
      <c r="J54" s="24"/>
      <c r="K54" s="24"/>
      <c r="L54" s="24"/>
      <c r="M54" s="24"/>
      <c r="N54" s="39">
        <f t="shared" si="2"/>
        <v>0</v>
      </c>
      <c r="O54" s="19">
        <f>N54/N12</f>
        <v>0</v>
      </c>
    </row>
    <row r="55" spans="1:15" x14ac:dyDescent="0.15">
      <c r="A55" s="8" t="s">
        <v>22</v>
      </c>
      <c r="B55" s="22"/>
      <c r="C55" s="22"/>
      <c r="D55" s="22"/>
      <c r="E55" s="24"/>
      <c r="F55" s="24"/>
      <c r="G55" s="24"/>
      <c r="H55" s="24"/>
      <c r="I55" s="24"/>
      <c r="J55" s="24"/>
      <c r="K55" s="24"/>
      <c r="L55" s="24"/>
      <c r="M55" s="24"/>
      <c r="N55" s="39">
        <f t="shared" si="2"/>
        <v>0</v>
      </c>
      <c r="O55" s="19">
        <f>N55/N13</f>
        <v>0</v>
      </c>
    </row>
    <row r="56" spans="1:15" x14ac:dyDescent="0.15">
      <c r="A56" s="8" t="s">
        <v>24</v>
      </c>
      <c r="B56" s="22"/>
      <c r="C56" s="22"/>
      <c r="D56" s="22"/>
      <c r="E56" s="24"/>
      <c r="F56" s="24"/>
      <c r="G56" s="24"/>
      <c r="H56" s="24"/>
      <c r="I56" s="24"/>
      <c r="J56" s="24"/>
      <c r="K56" s="24"/>
      <c r="L56" s="24"/>
      <c r="M56" s="24"/>
      <c r="N56" s="39">
        <f t="shared" si="2"/>
        <v>0</v>
      </c>
      <c r="O56" s="19">
        <f>N56/N14</f>
        <v>0</v>
      </c>
    </row>
    <row r="57" spans="1:15" x14ac:dyDescent="0.15">
      <c r="A57" s="8" t="s">
        <v>26</v>
      </c>
      <c r="B57" s="22"/>
      <c r="C57" s="22"/>
      <c r="D57" s="22"/>
      <c r="E57" s="24"/>
      <c r="F57" s="24"/>
      <c r="G57" s="24"/>
      <c r="H57" s="24"/>
      <c r="I57" s="24"/>
      <c r="J57" s="24"/>
      <c r="K57" s="24"/>
      <c r="L57" s="24"/>
      <c r="M57" s="24"/>
      <c r="N57" s="39">
        <f t="shared" si="2"/>
        <v>0</v>
      </c>
      <c r="O57" s="19">
        <f>N57/N15</f>
        <v>0</v>
      </c>
    </row>
    <row r="58" spans="1:15" x14ac:dyDescent="0.15">
      <c r="A58" s="8" t="s">
        <v>28</v>
      </c>
      <c r="B58" s="22"/>
      <c r="C58" s="22"/>
      <c r="D58" s="22"/>
      <c r="E58" s="24"/>
      <c r="F58" s="24"/>
      <c r="G58" s="24"/>
      <c r="H58" s="24"/>
      <c r="I58" s="24"/>
      <c r="J58" s="24"/>
      <c r="K58" s="24"/>
      <c r="L58" s="24"/>
      <c r="M58" s="24"/>
      <c r="N58" s="39">
        <f t="shared" si="2"/>
        <v>0</v>
      </c>
    </row>
    <row r="59" spans="1:15" x14ac:dyDescent="0.15">
      <c r="A59" s="8" t="s">
        <v>30</v>
      </c>
      <c r="B59" s="22"/>
      <c r="C59" s="22"/>
      <c r="D59" s="22"/>
      <c r="E59" s="24"/>
      <c r="F59" s="24"/>
      <c r="G59" s="24"/>
      <c r="H59" s="24"/>
      <c r="I59" s="24"/>
      <c r="J59" s="24"/>
      <c r="K59" s="24"/>
      <c r="L59" s="24"/>
      <c r="M59" s="24"/>
      <c r="N59" s="39">
        <f t="shared" si="2"/>
        <v>0</v>
      </c>
      <c r="O59" s="19">
        <f>N59/N17</f>
        <v>0</v>
      </c>
    </row>
    <row r="60" spans="1:15" x14ac:dyDescent="0.15">
      <c r="A60" s="8" t="s">
        <v>32</v>
      </c>
      <c r="B60" s="22"/>
      <c r="C60" s="22"/>
      <c r="D60" s="22"/>
      <c r="E60" s="24"/>
      <c r="F60" s="24"/>
      <c r="G60" s="24"/>
      <c r="H60" s="24"/>
      <c r="I60" s="24"/>
      <c r="J60" s="24"/>
      <c r="K60" s="24"/>
      <c r="L60" s="24"/>
      <c r="M60" s="24"/>
      <c r="N60" s="39">
        <f t="shared" si="2"/>
        <v>0</v>
      </c>
    </row>
    <row r="61" spans="1:15" x14ac:dyDescent="0.15">
      <c r="A61" s="8" t="s">
        <v>34</v>
      </c>
      <c r="B61" s="23"/>
      <c r="C61" s="23">
        <v>5000</v>
      </c>
      <c r="D61" s="23"/>
      <c r="E61" s="24"/>
      <c r="F61" s="24"/>
      <c r="G61" s="24"/>
      <c r="H61" s="24"/>
      <c r="I61" s="24"/>
      <c r="J61" s="24"/>
      <c r="K61" s="24"/>
      <c r="L61" s="24"/>
      <c r="M61" s="24"/>
      <c r="N61" s="39">
        <f t="shared" si="2"/>
        <v>5000</v>
      </c>
      <c r="O61" s="19">
        <f t="shared" ref="O61:O64" si="3">N61/N19</f>
        <v>8.2644628099173556E-2</v>
      </c>
    </row>
    <row r="62" spans="1:15" x14ac:dyDescent="0.15">
      <c r="A62" s="8" t="s">
        <v>36</v>
      </c>
      <c r="B62" s="23"/>
      <c r="C62" s="23"/>
      <c r="D62" s="23"/>
      <c r="E62" s="23">
        <v>6500</v>
      </c>
      <c r="F62" s="24"/>
      <c r="G62" s="24"/>
      <c r="H62" s="24"/>
      <c r="I62" s="24"/>
      <c r="J62" s="24"/>
      <c r="K62" s="24"/>
      <c r="L62" s="24"/>
      <c r="M62" s="24"/>
      <c r="N62" s="39">
        <f t="shared" si="2"/>
        <v>6500</v>
      </c>
      <c r="O62" s="19">
        <f t="shared" si="3"/>
        <v>0.44827586206896552</v>
      </c>
    </row>
    <row r="63" spans="1:15" x14ac:dyDescent="0.15">
      <c r="A63" s="8" t="s">
        <v>38</v>
      </c>
      <c r="B63" s="22"/>
      <c r="C63" s="22"/>
      <c r="D63" s="22"/>
      <c r="E63" s="24">
        <v>3500</v>
      </c>
      <c r="F63" s="24"/>
      <c r="G63" s="24"/>
      <c r="H63" s="24"/>
      <c r="I63" s="24"/>
      <c r="J63" s="24"/>
      <c r="K63" s="24"/>
      <c r="L63" s="24"/>
      <c r="M63" s="24"/>
      <c r="N63" s="39">
        <f t="shared" si="2"/>
        <v>3500</v>
      </c>
      <c r="O63" s="19">
        <f t="shared" si="3"/>
        <v>0.29914529914529914</v>
      </c>
    </row>
    <row r="64" spans="1:15" x14ac:dyDescent="0.15">
      <c r="A64" s="8" t="s">
        <v>40</v>
      </c>
      <c r="B64" s="23"/>
      <c r="C64" s="23">
        <v>5000</v>
      </c>
      <c r="D64" s="23">
        <v>12000</v>
      </c>
      <c r="E64" s="24">
        <v>7000</v>
      </c>
      <c r="F64" s="24"/>
      <c r="G64" s="24"/>
      <c r="H64" s="24"/>
      <c r="I64" s="24"/>
      <c r="J64" s="24"/>
      <c r="K64" s="24"/>
      <c r="L64" s="24"/>
      <c r="M64" s="24"/>
      <c r="N64" s="39">
        <f t="shared" si="2"/>
        <v>24000</v>
      </c>
      <c r="O64" s="19">
        <f t="shared" si="3"/>
        <v>0.55172413793103448</v>
      </c>
    </row>
    <row r="65" spans="1:15" x14ac:dyDescent="0.15">
      <c r="A65" s="8" t="s">
        <v>42</v>
      </c>
      <c r="B65" s="23"/>
      <c r="C65" s="23"/>
      <c r="D65" s="23">
        <v>10000</v>
      </c>
      <c r="E65" s="24"/>
      <c r="F65" s="24"/>
      <c r="G65" s="24"/>
      <c r="H65" s="24"/>
      <c r="I65" s="24"/>
      <c r="J65" s="24"/>
      <c r="K65" s="24"/>
      <c r="L65" s="24"/>
      <c r="M65" s="24"/>
      <c r="N65" s="39">
        <f t="shared" si="2"/>
        <v>10000</v>
      </c>
      <c r="O65" s="19">
        <f t="shared" ref="O65:O81" si="4">N65/N23</f>
        <v>0.20069440263311056</v>
      </c>
    </row>
    <row r="66" spans="1:15" x14ac:dyDescent="0.15">
      <c r="A66" s="8" t="s">
        <v>43</v>
      </c>
      <c r="B66" s="23">
        <v>6000</v>
      </c>
      <c r="C66" s="23"/>
      <c r="D66" s="23"/>
      <c r="E66" s="23">
        <f>6543+12000</f>
        <v>18543</v>
      </c>
      <c r="F66" s="24"/>
      <c r="G66" s="24"/>
      <c r="H66" s="24"/>
      <c r="I66" s="24"/>
      <c r="J66" s="24"/>
      <c r="K66" s="24"/>
      <c r="L66" s="24"/>
      <c r="M66" s="24"/>
      <c r="N66" s="39">
        <f t="shared" si="2"/>
        <v>24543</v>
      </c>
      <c r="O66" s="19">
        <f t="shared" si="4"/>
        <v>0.27935167374255893</v>
      </c>
    </row>
    <row r="67" spans="1:15" x14ac:dyDescent="0.15">
      <c r="A67" s="8" t="s">
        <v>45</v>
      </c>
      <c r="B67" s="23">
        <v>10000</v>
      </c>
      <c r="C67" s="23">
        <v>4515</v>
      </c>
      <c r="D67" s="23"/>
      <c r="E67" s="24"/>
      <c r="F67" s="24"/>
      <c r="G67" s="24"/>
      <c r="H67" s="24"/>
      <c r="I67" s="24"/>
      <c r="J67" s="24"/>
      <c r="K67" s="24"/>
      <c r="L67" s="24"/>
      <c r="M67" s="24"/>
      <c r="N67" s="39">
        <f t="shared" si="2"/>
        <v>14515</v>
      </c>
      <c r="O67" s="19">
        <f t="shared" si="4"/>
        <v>0.32266310992553071</v>
      </c>
    </row>
    <row r="68" spans="1:15" x14ac:dyDescent="0.15">
      <c r="A68" s="8" t="s">
        <v>47</v>
      </c>
      <c r="B68" s="23"/>
      <c r="C68" s="23"/>
      <c r="D68" s="23"/>
      <c r="E68" s="23">
        <v>500</v>
      </c>
      <c r="F68" s="24"/>
      <c r="G68" s="24"/>
      <c r="H68" s="24"/>
      <c r="I68" s="24"/>
      <c r="J68" s="24"/>
      <c r="K68" s="24"/>
      <c r="L68" s="24"/>
      <c r="M68" s="24"/>
      <c r="N68" s="39">
        <f t="shared" si="2"/>
        <v>500</v>
      </c>
      <c r="O68" s="19">
        <f t="shared" si="4"/>
        <v>1</v>
      </c>
    </row>
    <row r="69" spans="1:15" x14ac:dyDescent="0.15">
      <c r="A69" s="8" t="s">
        <v>49</v>
      </c>
      <c r="B69" s="22"/>
      <c r="C69" s="22"/>
      <c r="D69" s="22"/>
      <c r="E69" s="117"/>
      <c r="F69" s="24"/>
      <c r="G69" s="24"/>
      <c r="H69" s="24"/>
      <c r="I69" s="24"/>
      <c r="J69" s="24"/>
      <c r="K69" s="24"/>
      <c r="L69" s="24"/>
      <c r="M69" s="24"/>
      <c r="N69" s="39">
        <f t="shared" si="2"/>
        <v>0</v>
      </c>
      <c r="O69" s="19">
        <f t="shared" si="4"/>
        <v>0</v>
      </c>
    </row>
    <row r="70" spans="1:15" x14ac:dyDescent="0.15">
      <c r="A70" s="8" t="s">
        <v>51</v>
      </c>
      <c r="B70" s="23">
        <v>7000</v>
      </c>
      <c r="C70" s="23"/>
      <c r="D70" s="23"/>
      <c r="E70" s="24">
        <v>3000</v>
      </c>
      <c r="F70" s="24"/>
      <c r="G70" s="24"/>
      <c r="H70" s="24"/>
      <c r="I70" s="24"/>
      <c r="J70" s="24"/>
      <c r="K70" s="24"/>
      <c r="L70" s="24"/>
      <c r="M70" s="24"/>
      <c r="N70" s="39">
        <f t="shared" si="2"/>
        <v>10000</v>
      </c>
      <c r="O70" s="19">
        <f t="shared" si="4"/>
        <v>0.8771929824561403</v>
      </c>
    </row>
    <row r="71" spans="1:15" x14ac:dyDescent="0.15">
      <c r="A71" s="8" t="s">
        <v>53</v>
      </c>
      <c r="B71" s="23">
        <v>19894</v>
      </c>
      <c r="C71" s="23"/>
      <c r="D71" s="23"/>
      <c r="E71" s="23">
        <v>5040</v>
      </c>
      <c r="F71" s="24"/>
      <c r="G71" s="24"/>
      <c r="H71" s="24"/>
      <c r="I71" s="24"/>
      <c r="J71" s="24"/>
      <c r="K71" s="24"/>
      <c r="L71" s="24"/>
      <c r="M71" s="24"/>
      <c r="N71" s="39">
        <f t="shared" si="2"/>
        <v>24934</v>
      </c>
      <c r="O71" s="19">
        <f t="shared" si="4"/>
        <v>0.45516611902154069</v>
      </c>
    </row>
    <row r="72" spans="1:15" x14ac:dyDescent="0.15">
      <c r="A72" s="8" t="s">
        <v>55</v>
      </c>
      <c r="B72" s="23"/>
      <c r="C72" s="23"/>
      <c r="D72" s="23">
        <v>14000</v>
      </c>
      <c r="E72" s="23">
        <v>30000</v>
      </c>
      <c r="F72" s="24"/>
      <c r="G72" s="24"/>
      <c r="H72" s="24"/>
      <c r="I72" s="24"/>
      <c r="J72" s="24"/>
      <c r="K72" s="24"/>
      <c r="L72" s="24"/>
      <c r="M72" s="24"/>
      <c r="N72" s="39">
        <f t="shared" si="2"/>
        <v>44000</v>
      </c>
      <c r="O72" s="19">
        <f t="shared" si="4"/>
        <v>0.6875</v>
      </c>
    </row>
    <row r="73" spans="1:15" x14ac:dyDescent="0.15">
      <c r="A73" s="8" t="s">
        <v>57</v>
      </c>
      <c r="B73" s="23"/>
      <c r="C73" s="23">
        <v>750</v>
      </c>
      <c r="D73" s="23"/>
      <c r="E73" s="24"/>
      <c r="F73" s="24"/>
      <c r="G73" s="24"/>
      <c r="H73" s="24"/>
      <c r="I73" s="24"/>
      <c r="J73" s="24"/>
      <c r="K73" s="24"/>
      <c r="L73" s="24"/>
      <c r="M73" s="24"/>
      <c r="N73" s="39">
        <f t="shared" si="2"/>
        <v>750</v>
      </c>
      <c r="O73" s="19">
        <f t="shared" si="4"/>
        <v>0.21676300578034682</v>
      </c>
    </row>
    <row r="74" spans="1:15" x14ac:dyDescent="0.15">
      <c r="A74" s="8" t="s">
        <v>59</v>
      </c>
      <c r="B74" s="23"/>
      <c r="C74" s="23">
        <v>2000</v>
      </c>
      <c r="D74" s="23"/>
      <c r="E74" s="24">
        <v>3000</v>
      </c>
      <c r="F74" s="24"/>
      <c r="G74" s="24"/>
      <c r="H74" s="24"/>
      <c r="I74" s="24"/>
      <c r="J74" s="24"/>
      <c r="K74" s="24"/>
      <c r="L74" s="24"/>
      <c r="M74" s="24"/>
      <c r="N74" s="39">
        <f t="shared" si="2"/>
        <v>5000</v>
      </c>
      <c r="O74" s="19">
        <f t="shared" si="4"/>
        <v>0.76804915514592931</v>
      </c>
    </row>
    <row r="75" spans="1:15" x14ac:dyDescent="0.15">
      <c r="A75" s="8" t="s">
        <v>61</v>
      </c>
      <c r="B75" s="23">
        <v>1500</v>
      </c>
      <c r="C75" s="23"/>
      <c r="D75" s="23"/>
      <c r="E75" s="23">
        <v>1000</v>
      </c>
      <c r="F75" s="24"/>
      <c r="G75" s="24"/>
      <c r="H75" s="24"/>
      <c r="I75" s="24"/>
      <c r="J75" s="24"/>
      <c r="K75" s="24"/>
      <c r="L75" s="24"/>
      <c r="M75" s="24"/>
      <c r="N75" s="39">
        <f t="shared" si="2"/>
        <v>2500</v>
      </c>
      <c r="O75" s="19">
        <f t="shared" si="4"/>
        <v>0.52083333333333337</v>
      </c>
    </row>
    <row r="76" spans="1:15" x14ac:dyDescent="0.15">
      <c r="A76" s="8" t="s">
        <v>63</v>
      </c>
      <c r="B76" s="23">
        <v>2000</v>
      </c>
      <c r="C76" s="23"/>
      <c r="D76" s="23"/>
      <c r="E76" s="24">
        <v>1236</v>
      </c>
      <c r="F76" s="24"/>
      <c r="G76" s="24"/>
      <c r="H76" s="24"/>
      <c r="I76" s="24"/>
      <c r="J76" s="24"/>
      <c r="K76" s="24"/>
      <c r="L76" s="24"/>
      <c r="M76" s="24"/>
      <c r="N76" s="39">
        <f t="shared" si="2"/>
        <v>3236</v>
      </c>
      <c r="O76" s="19">
        <f t="shared" si="4"/>
        <v>0.80900000000000005</v>
      </c>
    </row>
    <row r="77" spans="1:15" x14ac:dyDescent="0.15">
      <c r="A77" s="8" t="s">
        <v>65</v>
      </c>
      <c r="B77" s="23"/>
      <c r="C77" s="23">
        <v>10000</v>
      </c>
      <c r="D77" s="23">
        <v>13000</v>
      </c>
      <c r="E77" s="24">
        <v>36127</v>
      </c>
      <c r="F77" s="24"/>
      <c r="G77" s="24"/>
      <c r="H77" s="24"/>
      <c r="I77" s="24"/>
      <c r="J77" s="24"/>
      <c r="K77" s="24"/>
      <c r="L77" s="24"/>
      <c r="M77" s="24"/>
      <c r="N77" s="39">
        <f t="shared" si="2"/>
        <v>59127</v>
      </c>
      <c r="O77" s="19">
        <f t="shared" si="4"/>
        <v>0.81137046642789512</v>
      </c>
    </row>
    <row r="78" spans="1:15" x14ac:dyDescent="0.15">
      <c r="A78" s="8" t="s">
        <v>67</v>
      </c>
      <c r="B78" s="23"/>
      <c r="C78" s="23">
        <v>500</v>
      </c>
      <c r="D78" s="23"/>
      <c r="E78" s="24">
        <v>500</v>
      </c>
      <c r="F78" s="24"/>
      <c r="G78" s="24"/>
      <c r="H78" s="24"/>
      <c r="I78" s="24"/>
      <c r="J78" s="24"/>
      <c r="K78" s="24"/>
      <c r="L78" s="24"/>
      <c r="M78" s="24"/>
      <c r="N78" s="39">
        <f t="shared" si="2"/>
        <v>1000</v>
      </c>
      <c r="O78" s="19">
        <f t="shared" si="4"/>
        <v>0.63291139240506333</v>
      </c>
    </row>
    <row r="79" spans="1:15" x14ac:dyDescent="0.15">
      <c r="A79" s="8" t="s">
        <v>69</v>
      </c>
      <c r="B79" s="23">
        <v>3000</v>
      </c>
      <c r="C79" s="23"/>
      <c r="D79" s="23"/>
      <c r="E79" s="24">
        <v>2880</v>
      </c>
      <c r="F79" s="24"/>
      <c r="G79" s="24"/>
      <c r="H79" s="24"/>
      <c r="I79" s="24"/>
      <c r="J79" s="24"/>
      <c r="K79" s="24"/>
      <c r="L79" s="24"/>
      <c r="M79" s="24"/>
      <c r="N79" s="39">
        <f t="shared" si="2"/>
        <v>5880</v>
      </c>
      <c r="O79" s="19">
        <f t="shared" si="4"/>
        <v>1.0530085959885387</v>
      </c>
    </row>
    <row r="80" spans="1:15" x14ac:dyDescent="0.15">
      <c r="A80" s="8" t="s">
        <v>71</v>
      </c>
      <c r="B80" s="23">
        <v>3875</v>
      </c>
      <c r="C80" s="23">
        <v>8125</v>
      </c>
      <c r="D80" s="23"/>
      <c r="E80" s="23"/>
      <c r="F80" s="24"/>
      <c r="G80" s="24"/>
      <c r="H80" s="24"/>
      <c r="I80" s="24"/>
      <c r="J80" s="24"/>
      <c r="K80" s="24"/>
      <c r="L80" s="24"/>
      <c r="M80" s="24"/>
      <c r="N80" s="39">
        <f t="shared" si="2"/>
        <v>12000</v>
      </c>
      <c r="O80" s="19">
        <f t="shared" si="4"/>
        <v>0.30848329048843187</v>
      </c>
    </row>
    <row r="81" spans="1:15" x14ac:dyDescent="0.15">
      <c r="A81" s="8" t="s">
        <v>73</v>
      </c>
      <c r="B81" s="23">
        <v>20000</v>
      </c>
      <c r="C81" s="23"/>
      <c r="D81" s="23"/>
      <c r="E81" s="24">
        <v>2000</v>
      </c>
      <c r="F81" s="24"/>
      <c r="G81" s="24"/>
      <c r="H81" s="24"/>
      <c r="I81" s="24"/>
      <c r="J81" s="24"/>
      <c r="K81" s="24"/>
      <c r="L81" s="24"/>
      <c r="M81" s="24"/>
      <c r="N81" s="39">
        <f t="shared" si="2"/>
        <v>22000</v>
      </c>
      <c r="O81" s="19">
        <f t="shared" si="4"/>
        <v>0.35670855289825698</v>
      </c>
    </row>
    <row r="82" spans="1:15" ht="13" thickBot="1" x14ac:dyDescent="0.2">
      <c r="A82" s="12"/>
      <c r="B82" s="14">
        <f>SUM(B45:B81)</f>
        <v>73269</v>
      </c>
      <c r="C82" s="14">
        <f>SUM(C45:C81)</f>
        <v>53114</v>
      </c>
      <c r="D82" s="14">
        <f>SUM(D45:D81)</f>
        <v>54000</v>
      </c>
      <c r="E82" s="14">
        <f>SUM(E45:E81)</f>
        <v>130826</v>
      </c>
      <c r="F82" s="17"/>
      <c r="G82" s="17"/>
      <c r="H82" s="17"/>
      <c r="I82" s="17"/>
      <c r="J82" s="17"/>
      <c r="K82" s="17"/>
      <c r="L82" s="17"/>
      <c r="M82" s="17"/>
      <c r="N82" s="18">
        <f>SUM(N45:N81)</f>
        <v>311209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2F2E7-F354-43F3-9DC7-CA732B8A9511}">
  <sheetPr>
    <tabColor theme="8"/>
  </sheetPr>
  <dimension ref="A1:O82"/>
  <sheetViews>
    <sheetView topLeftCell="A26" zoomScale="80" zoomScaleNormal="80" workbookViewId="0">
      <selection activeCell="S75" sqref="S75"/>
    </sheetView>
  </sheetViews>
  <sheetFormatPr baseColWidth="10" defaultColWidth="8.6640625" defaultRowHeight="12" x14ac:dyDescent="0.15"/>
  <cols>
    <col min="1" max="1" width="26.6640625" style="3" bestFit="1" customWidth="1"/>
    <col min="2" max="2" width="8.6640625" style="3" customWidth="1"/>
    <col min="3" max="3" width="9.1640625" style="3" customWidth="1"/>
    <col min="4" max="4" width="7.6640625" style="3" customWidth="1"/>
    <col min="5" max="5" width="7.33203125" style="3" customWidth="1"/>
    <col min="6" max="6" width="7.6640625" style="3" customWidth="1"/>
    <col min="7" max="7" width="8.1640625" style="3" customWidth="1"/>
    <col min="8" max="8" width="8.83203125" style="3" customWidth="1"/>
    <col min="9" max="9" width="7.5" style="3" customWidth="1"/>
    <col min="10" max="10" width="7.33203125" style="3" customWidth="1"/>
    <col min="11" max="11" width="8.6640625" style="3" customWidth="1"/>
    <col min="12" max="12" width="7.5" style="3" customWidth="1"/>
    <col min="13" max="13" width="8.33203125" style="3" customWidth="1"/>
    <col min="14" max="14" width="9.6640625" style="3" customWidth="1"/>
    <col min="15" max="15" width="13.1640625" style="3" customWidth="1"/>
    <col min="16" max="16384" width="8.6640625" style="3"/>
  </cols>
  <sheetData>
    <row r="1" spans="1:14" ht="13" thickBot="1" x14ac:dyDescent="0.2">
      <c r="A1" s="2" t="s">
        <v>76</v>
      </c>
    </row>
    <row r="2" spans="1:14" x14ac:dyDescent="0.15">
      <c r="A2" s="4" t="s">
        <v>0</v>
      </c>
      <c r="B2" s="6">
        <v>45658</v>
      </c>
      <c r="C2" s="6">
        <v>45689</v>
      </c>
      <c r="D2" s="6">
        <v>45717</v>
      </c>
      <c r="E2" s="6">
        <v>45748</v>
      </c>
      <c r="F2" s="6">
        <v>45778</v>
      </c>
      <c r="G2" s="6">
        <v>45809</v>
      </c>
      <c r="H2" s="6">
        <v>45839</v>
      </c>
      <c r="I2" s="6">
        <v>45870</v>
      </c>
      <c r="J2" s="6">
        <v>45901</v>
      </c>
      <c r="K2" s="6">
        <v>45931</v>
      </c>
      <c r="L2" s="6">
        <v>45962</v>
      </c>
      <c r="M2" s="6">
        <v>45992</v>
      </c>
      <c r="N2" s="7" t="s">
        <v>75</v>
      </c>
    </row>
    <row r="3" spans="1:14" x14ac:dyDescent="0.15">
      <c r="A3" s="8" t="s">
        <v>2</v>
      </c>
      <c r="B3" s="10">
        <v>4394</v>
      </c>
      <c r="C3" s="10">
        <v>6941</v>
      </c>
      <c r="D3" s="10">
        <v>6587</v>
      </c>
      <c r="E3" s="10">
        <v>6771</v>
      </c>
      <c r="F3" s="10">
        <v>5755</v>
      </c>
      <c r="G3" s="10">
        <v>3979</v>
      </c>
      <c r="H3" s="10">
        <v>5714</v>
      </c>
      <c r="I3" s="10">
        <v>4923</v>
      </c>
      <c r="J3" s="10">
        <v>7638</v>
      </c>
      <c r="K3" s="10">
        <v>7898</v>
      </c>
      <c r="L3" s="10">
        <v>9207</v>
      </c>
      <c r="M3" s="10">
        <v>6236</v>
      </c>
      <c r="N3" s="11">
        <f>SUM(B3:M3)</f>
        <v>76043</v>
      </c>
    </row>
    <row r="4" spans="1:14" x14ac:dyDescent="0.15">
      <c r="A4" s="8" t="s">
        <v>4</v>
      </c>
      <c r="B4" s="10">
        <v>1680</v>
      </c>
      <c r="C4" s="10">
        <v>2050</v>
      </c>
      <c r="D4" s="10">
        <v>1620</v>
      </c>
      <c r="E4" s="10">
        <v>1985</v>
      </c>
      <c r="F4" s="10">
        <v>1970</v>
      </c>
      <c r="G4" s="10">
        <v>1280</v>
      </c>
      <c r="H4" s="10">
        <v>2990</v>
      </c>
      <c r="I4" s="10">
        <v>1450</v>
      </c>
      <c r="J4" s="10">
        <v>1370</v>
      </c>
      <c r="K4" s="10">
        <v>2160</v>
      </c>
      <c r="L4" s="10">
        <v>1620</v>
      </c>
      <c r="M4" s="10">
        <v>1705</v>
      </c>
      <c r="N4" s="11">
        <f t="shared" ref="N4:N39" si="0">SUM(B4:M4)</f>
        <v>21880</v>
      </c>
    </row>
    <row r="5" spans="1:14" x14ac:dyDescent="0.15">
      <c r="A5" s="8" t="s">
        <v>6</v>
      </c>
      <c r="B5" s="10">
        <v>0</v>
      </c>
      <c r="C5" s="10">
        <v>0</v>
      </c>
      <c r="D5" s="10"/>
      <c r="E5" s="10">
        <v>0</v>
      </c>
      <c r="F5" s="10">
        <v>13</v>
      </c>
      <c r="G5" s="10">
        <v>216</v>
      </c>
      <c r="H5" s="10">
        <v>305</v>
      </c>
      <c r="I5" s="10">
        <v>148</v>
      </c>
      <c r="J5" s="10">
        <v>100</v>
      </c>
      <c r="K5" s="10">
        <v>44</v>
      </c>
      <c r="L5" s="10">
        <v>10</v>
      </c>
      <c r="M5" s="10">
        <v>0</v>
      </c>
      <c r="N5" s="11">
        <f t="shared" si="0"/>
        <v>836</v>
      </c>
    </row>
    <row r="6" spans="1:14" x14ac:dyDescent="0.15">
      <c r="A6" s="8" t="s">
        <v>8</v>
      </c>
      <c r="B6" s="10">
        <v>6</v>
      </c>
      <c r="C6" s="10">
        <v>0</v>
      </c>
      <c r="D6" s="10">
        <v>0</v>
      </c>
      <c r="E6" s="10">
        <v>64</v>
      </c>
      <c r="F6" s="10">
        <v>340</v>
      </c>
      <c r="G6" s="10">
        <v>79</v>
      </c>
      <c r="H6" s="10">
        <v>772</v>
      </c>
      <c r="I6" s="10">
        <v>465</v>
      </c>
      <c r="J6" s="10">
        <v>393</v>
      </c>
      <c r="K6" s="10">
        <v>288</v>
      </c>
      <c r="L6" s="10">
        <v>19</v>
      </c>
      <c r="M6" s="10">
        <v>0</v>
      </c>
      <c r="N6" s="11">
        <f t="shared" si="0"/>
        <v>2426</v>
      </c>
    </row>
    <row r="7" spans="1:14" x14ac:dyDescent="0.15">
      <c r="A7" s="8" t="s">
        <v>10</v>
      </c>
      <c r="B7" s="10">
        <v>1</v>
      </c>
      <c r="C7" s="10">
        <v>513</v>
      </c>
      <c r="D7" s="10">
        <v>366</v>
      </c>
      <c r="E7" s="10">
        <v>624</v>
      </c>
      <c r="F7" s="10">
        <v>327</v>
      </c>
      <c r="G7" s="10">
        <v>423</v>
      </c>
      <c r="H7" s="10">
        <v>169</v>
      </c>
      <c r="I7" s="10">
        <v>333</v>
      </c>
      <c r="J7" s="10">
        <v>216</v>
      </c>
      <c r="K7" s="10">
        <v>321</v>
      </c>
      <c r="L7" s="10">
        <v>263</v>
      </c>
      <c r="M7" s="10">
        <v>132</v>
      </c>
      <c r="N7" s="11">
        <f t="shared" si="0"/>
        <v>3688</v>
      </c>
    </row>
    <row r="8" spans="1:14" x14ac:dyDescent="0.15">
      <c r="A8" s="8" t="s">
        <v>12</v>
      </c>
      <c r="B8" s="10">
        <v>0</v>
      </c>
      <c r="C8" s="10">
        <v>0</v>
      </c>
      <c r="D8" s="10">
        <v>0</v>
      </c>
      <c r="E8" s="10"/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/>
      <c r="M8" s="10">
        <v>0</v>
      </c>
      <c r="N8" s="11">
        <f t="shared" si="0"/>
        <v>0</v>
      </c>
    </row>
    <row r="9" spans="1:14" x14ac:dyDescent="0.15">
      <c r="A9" s="8" t="s">
        <v>14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17</v>
      </c>
      <c r="H9" s="10">
        <v>105</v>
      </c>
      <c r="I9" s="10">
        <v>49</v>
      </c>
      <c r="J9" s="10">
        <v>103</v>
      </c>
      <c r="K9" s="10">
        <v>93</v>
      </c>
      <c r="L9" s="10">
        <v>165</v>
      </c>
      <c r="M9" s="10">
        <v>153</v>
      </c>
      <c r="N9" s="11">
        <f t="shared" si="0"/>
        <v>685</v>
      </c>
    </row>
    <row r="10" spans="1:14" x14ac:dyDescent="0.15">
      <c r="A10" s="8" t="s">
        <v>16</v>
      </c>
      <c r="B10" s="10">
        <v>4623</v>
      </c>
      <c r="C10" s="10">
        <v>8190</v>
      </c>
      <c r="D10" s="10">
        <v>5251</v>
      </c>
      <c r="E10" s="10">
        <v>6149</v>
      </c>
      <c r="F10" s="10">
        <v>6237</v>
      </c>
      <c r="G10" s="10">
        <v>7149</v>
      </c>
      <c r="H10" s="10">
        <v>5327</v>
      </c>
      <c r="I10" s="10">
        <v>6123</v>
      </c>
      <c r="J10" s="10">
        <v>6188</v>
      </c>
      <c r="K10" s="10">
        <v>5481</v>
      </c>
      <c r="L10" s="10">
        <v>5818</v>
      </c>
      <c r="M10" s="10">
        <v>6592</v>
      </c>
      <c r="N10" s="11">
        <f t="shared" si="0"/>
        <v>73128</v>
      </c>
    </row>
    <row r="11" spans="1:14" x14ac:dyDescent="0.15">
      <c r="A11" s="8" t="s">
        <v>18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>
        <v>0</v>
      </c>
      <c r="N11" s="11">
        <f t="shared" si="0"/>
        <v>0</v>
      </c>
    </row>
    <row r="12" spans="1:14" x14ac:dyDescent="0.15">
      <c r="A12" s="8" t="s">
        <v>20</v>
      </c>
      <c r="B12" s="10">
        <v>685</v>
      </c>
      <c r="C12" s="10">
        <v>327</v>
      </c>
      <c r="D12" s="10">
        <v>147</v>
      </c>
      <c r="E12" s="10">
        <v>9</v>
      </c>
      <c r="F12" s="10">
        <v>0</v>
      </c>
      <c r="G12" s="10">
        <v>23</v>
      </c>
      <c r="H12" s="10">
        <v>1035</v>
      </c>
      <c r="I12" s="10">
        <v>1565</v>
      </c>
      <c r="J12" s="10">
        <v>1309</v>
      </c>
      <c r="K12" s="10">
        <v>1531</v>
      </c>
      <c r="L12" s="10">
        <v>1322</v>
      </c>
      <c r="M12" s="10">
        <v>1088</v>
      </c>
      <c r="N12" s="11">
        <f t="shared" si="0"/>
        <v>9041</v>
      </c>
    </row>
    <row r="13" spans="1:14" x14ac:dyDescent="0.15">
      <c r="A13" s="8" t="s">
        <v>22</v>
      </c>
      <c r="B13" s="10">
        <v>4</v>
      </c>
      <c r="C13" s="10">
        <v>5</v>
      </c>
      <c r="D13" s="10">
        <v>0</v>
      </c>
      <c r="E13" s="10">
        <v>2</v>
      </c>
      <c r="F13" s="10">
        <v>0</v>
      </c>
      <c r="G13" s="10">
        <v>0</v>
      </c>
      <c r="H13" s="10">
        <v>0</v>
      </c>
      <c r="I13" s="10">
        <v>0</v>
      </c>
      <c r="J13" s="10">
        <v>45</v>
      </c>
      <c r="K13" s="10">
        <v>157</v>
      </c>
      <c r="L13" s="10">
        <v>474</v>
      </c>
      <c r="M13" s="10">
        <v>666</v>
      </c>
      <c r="N13" s="11">
        <f t="shared" si="0"/>
        <v>1353</v>
      </c>
    </row>
    <row r="14" spans="1:14" x14ac:dyDescent="0.15">
      <c r="A14" s="8" t="s">
        <v>24</v>
      </c>
      <c r="B14" s="10">
        <v>510</v>
      </c>
      <c r="C14" s="10">
        <v>342</v>
      </c>
      <c r="D14" s="10">
        <v>377</v>
      </c>
      <c r="E14" s="10">
        <v>186</v>
      </c>
      <c r="F14" s="10">
        <v>263</v>
      </c>
      <c r="G14" s="10">
        <v>422</v>
      </c>
      <c r="H14" s="10">
        <v>936</v>
      </c>
      <c r="I14" s="10">
        <v>609</v>
      </c>
      <c r="J14" s="10">
        <v>698</v>
      </c>
      <c r="K14" s="10">
        <v>525</v>
      </c>
      <c r="L14" s="10">
        <v>551</v>
      </c>
      <c r="M14" s="10">
        <v>439</v>
      </c>
      <c r="N14" s="11">
        <f t="shared" si="0"/>
        <v>5858</v>
      </c>
    </row>
    <row r="15" spans="1:14" x14ac:dyDescent="0.15">
      <c r="A15" s="8" t="s">
        <v>26</v>
      </c>
      <c r="B15" s="10">
        <v>1150</v>
      </c>
      <c r="C15" s="10">
        <v>715</v>
      </c>
      <c r="D15" s="10">
        <v>20</v>
      </c>
      <c r="E15" s="10">
        <v>435</v>
      </c>
      <c r="F15" s="10">
        <v>300</v>
      </c>
      <c r="G15" s="10">
        <v>110</v>
      </c>
      <c r="H15" s="10">
        <v>794</v>
      </c>
      <c r="I15" s="10">
        <v>326</v>
      </c>
      <c r="J15" s="10">
        <v>401</v>
      </c>
      <c r="K15" s="10">
        <v>279</v>
      </c>
      <c r="L15" s="10">
        <v>100</v>
      </c>
      <c r="M15" s="10">
        <v>0</v>
      </c>
      <c r="N15" s="11">
        <f t="shared" si="0"/>
        <v>4630</v>
      </c>
    </row>
    <row r="16" spans="1:14" x14ac:dyDescent="0.15">
      <c r="A16" s="8" t="s">
        <v>28</v>
      </c>
      <c r="B16" s="10">
        <v>0</v>
      </c>
      <c r="C16" s="10">
        <v>25</v>
      </c>
      <c r="D16" s="10">
        <v>0</v>
      </c>
      <c r="E16" s="10"/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1">
        <f t="shared" si="0"/>
        <v>25</v>
      </c>
    </row>
    <row r="17" spans="1:14" x14ac:dyDescent="0.15">
      <c r="A17" s="8" t="s">
        <v>30</v>
      </c>
      <c r="B17" s="10">
        <v>305</v>
      </c>
      <c r="C17" s="10">
        <v>248</v>
      </c>
      <c r="D17" s="10">
        <v>105</v>
      </c>
      <c r="E17" s="10">
        <v>33</v>
      </c>
      <c r="F17" s="10">
        <v>0</v>
      </c>
      <c r="G17" s="10">
        <v>1387</v>
      </c>
      <c r="H17" s="10">
        <v>676</v>
      </c>
      <c r="I17" s="10">
        <v>593</v>
      </c>
      <c r="J17" s="10">
        <v>88</v>
      </c>
      <c r="K17" s="10">
        <v>38</v>
      </c>
      <c r="L17" s="10">
        <v>5</v>
      </c>
      <c r="M17" s="10">
        <v>0</v>
      </c>
      <c r="N17" s="11">
        <f t="shared" si="0"/>
        <v>3478</v>
      </c>
    </row>
    <row r="18" spans="1:14" x14ac:dyDescent="0.15">
      <c r="A18" s="8" t="s">
        <v>32</v>
      </c>
      <c r="B18" s="10">
        <v>244</v>
      </c>
      <c r="C18" s="10">
        <v>926</v>
      </c>
      <c r="D18" s="10">
        <v>5441</v>
      </c>
      <c r="E18" s="10">
        <v>3183</v>
      </c>
      <c r="F18" s="10">
        <v>4063</v>
      </c>
      <c r="G18" s="10">
        <v>3310</v>
      </c>
      <c r="H18" s="10">
        <v>1890</v>
      </c>
      <c r="I18" s="10">
        <v>690</v>
      </c>
      <c r="J18" s="10">
        <v>1175</v>
      </c>
      <c r="K18" s="10">
        <v>234</v>
      </c>
      <c r="L18" s="10">
        <v>5</v>
      </c>
      <c r="M18" s="10">
        <v>36</v>
      </c>
      <c r="N18" s="11">
        <f t="shared" si="0"/>
        <v>21197</v>
      </c>
    </row>
    <row r="19" spans="1:14" x14ac:dyDescent="0.15">
      <c r="A19" s="8" t="s">
        <v>34</v>
      </c>
      <c r="B19" s="10">
        <v>5013</v>
      </c>
      <c r="C19" s="10">
        <v>7203</v>
      </c>
      <c r="D19" s="10">
        <v>3296</v>
      </c>
      <c r="E19" s="10">
        <v>1856</v>
      </c>
      <c r="F19" s="10">
        <v>1817</v>
      </c>
      <c r="G19" s="10">
        <v>2779</v>
      </c>
      <c r="H19" s="10">
        <v>1566</v>
      </c>
      <c r="I19" s="10">
        <v>3182</v>
      </c>
      <c r="J19" s="10">
        <v>3374</v>
      </c>
      <c r="K19" s="10">
        <v>3499</v>
      </c>
      <c r="L19" s="10">
        <v>3464</v>
      </c>
      <c r="M19" s="10">
        <v>3075</v>
      </c>
      <c r="N19" s="11">
        <f t="shared" si="0"/>
        <v>40124</v>
      </c>
    </row>
    <row r="20" spans="1:14" x14ac:dyDescent="0.15">
      <c r="A20" s="8" t="s">
        <v>36</v>
      </c>
      <c r="B20" s="10">
        <v>1421</v>
      </c>
      <c r="C20" s="10">
        <v>1953</v>
      </c>
      <c r="D20" s="10">
        <v>1046</v>
      </c>
      <c r="E20" s="10">
        <v>655</v>
      </c>
      <c r="F20" s="10">
        <v>1670</v>
      </c>
      <c r="G20" s="10">
        <v>1860</v>
      </c>
      <c r="H20" s="10">
        <v>945</v>
      </c>
      <c r="I20" s="10">
        <v>2106</v>
      </c>
      <c r="J20" s="10">
        <v>2615</v>
      </c>
      <c r="K20" s="10">
        <v>1816</v>
      </c>
      <c r="L20" s="10">
        <v>1968</v>
      </c>
      <c r="M20" s="10">
        <v>1734</v>
      </c>
      <c r="N20" s="11">
        <f t="shared" si="0"/>
        <v>19789</v>
      </c>
    </row>
    <row r="21" spans="1:14" x14ac:dyDescent="0.15">
      <c r="A21" s="8" t="s">
        <v>38</v>
      </c>
      <c r="B21" s="10">
        <v>487</v>
      </c>
      <c r="C21" s="10">
        <v>835</v>
      </c>
      <c r="D21" s="10">
        <v>961</v>
      </c>
      <c r="E21" s="10">
        <v>790</v>
      </c>
      <c r="F21" s="10">
        <v>1120</v>
      </c>
      <c r="G21" s="10">
        <v>1625</v>
      </c>
      <c r="H21" s="10">
        <v>1323</v>
      </c>
      <c r="I21" s="10">
        <v>1356</v>
      </c>
      <c r="J21" s="10">
        <v>1522</v>
      </c>
      <c r="K21" s="10">
        <v>1859</v>
      </c>
      <c r="L21" s="10">
        <v>1379</v>
      </c>
      <c r="M21" s="10">
        <v>1799</v>
      </c>
      <c r="N21" s="11">
        <f t="shared" si="0"/>
        <v>15056</v>
      </c>
    </row>
    <row r="22" spans="1:14" x14ac:dyDescent="0.15">
      <c r="A22" s="8" t="s">
        <v>40</v>
      </c>
      <c r="B22" s="10">
        <v>2222</v>
      </c>
      <c r="C22" s="10">
        <v>3575</v>
      </c>
      <c r="D22" s="10">
        <v>2977</v>
      </c>
      <c r="E22" s="10">
        <v>2970</v>
      </c>
      <c r="F22" s="10">
        <v>4790</v>
      </c>
      <c r="G22" s="10">
        <v>3796</v>
      </c>
      <c r="H22" s="10">
        <v>2941</v>
      </c>
      <c r="I22" s="10">
        <v>5262</v>
      </c>
      <c r="J22" s="10">
        <v>5774</v>
      </c>
      <c r="K22" s="10">
        <v>4917</v>
      </c>
      <c r="L22" s="10">
        <v>3897</v>
      </c>
      <c r="M22" s="10">
        <v>5012</v>
      </c>
      <c r="N22" s="11">
        <f t="shared" si="0"/>
        <v>48133</v>
      </c>
    </row>
    <row r="23" spans="1:14" x14ac:dyDescent="0.15">
      <c r="A23" s="8" t="s">
        <v>42</v>
      </c>
      <c r="B23" s="10">
        <v>4647</v>
      </c>
      <c r="C23" s="10">
        <v>259</v>
      </c>
      <c r="D23" s="10">
        <v>3376</v>
      </c>
      <c r="E23" s="10">
        <v>2993</v>
      </c>
      <c r="F23" s="10">
        <v>3663</v>
      </c>
      <c r="G23" s="10">
        <v>4251</v>
      </c>
      <c r="H23" s="10">
        <v>3849</v>
      </c>
      <c r="I23" s="10">
        <v>1833</v>
      </c>
      <c r="J23" s="10">
        <v>3243</v>
      </c>
      <c r="K23" s="10">
        <v>5116</v>
      </c>
      <c r="L23" s="10">
        <v>5728</v>
      </c>
      <c r="M23" s="10">
        <v>4978</v>
      </c>
      <c r="N23" s="11">
        <f t="shared" si="0"/>
        <v>43936</v>
      </c>
    </row>
    <row r="24" spans="1:14" x14ac:dyDescent="0.15">
      <c r="A24" s="8" t="s">
        <v>43</v>
      </c>
      <c r="B24" s="10">
        <v>7066</v>
      </c>
      <c r="C24" s="10">
        <v>5718</v>
      </c>
      <c r="D24" s="10">
        <v>6787</v>
      </c>
      <c r="E24" s="10">
        <v>4961</v>
      </c>
      <c r="F24" s="10">
        <v>5031</v>
      </c>
      <c r="G24" s="10">
        <v>3953</v>
      </c>
      <c r="H24" s="10">
        <v>3852</v>
      </c>
      <c r="I24" s="10">
        <v>5496</v>
      </c>
      <c r="J24" s="10">
        <v>5939</v>
      </c>
      <c r="K24" s="10">
        <v>5162</v>
      </c>
      <c r="L24" s="10">
        <v>6419</v>
      </c>
      <c r="M24" s="10">
        <v>5246</v>
      </c>
      <c r="N24" s="11">
        <f t="shared" si="0"/>
        <v>65630</v>
      </c>
    </row>
    <row r="25" spans="1:14" x14ac:dyDescent="0.15">
      <c r="A25" s="8" t="s">
        <v>45</v>
      </c>
      <c r="B25" s="10">
        <v>10899</v>
      </c>
      <c r="C25" s="10">
        <v>95</v>
      </c>
      <c r="D25" s="10">
        <v>3891</v>
      </c>
      <c r="E25" s="10">
        <v>2668</v>
      </c>
      <c r="F25" s="10">
        <v>4579</v>
      </c>
      <c r="G25" s="10">
        <v>4460</v>
      </c>
      <c r="H25" s="10">
        <v>5578</v>
      </c>
      <c r="I25" s="10">
        <v>2012</v>
      </c>
      <c r="J25" s="10">
        <v>46</v>
      </c>
      <c r="K25" s="10">
        <v>10069</v>
      </c>
      <c r="L25" s="10">
        <v>6768</v>
      </c>
      <c r="M25" s="10">
        <v>3712</v>
      </c>
      <c r="N25" s="11">
        <f t="shared" si="0"/>
        <v>54777</v>
      </c>
    </row>
    <row r="26" spans="1:14" x14ac:dyDescent="0.15">
      <c r="A26" s="8" t="s">
        <v>47</v>
      </c>
      <c r="B26" s="10">
        <v>63</v>
      </c>
      <c r="C26" s="10">
        <v>105</v>
      </c>
      <c r="D26" s="10">
        <v>102</v>
      </c>
      <c r="E26" s="10">
        <v>46</v>
      </c>
      <c r="F26" s="10">
        <v>83</v>
      </c>
      <c r="G26" s="10">
        <v>119</v>
      </c>
      <c r="H26" s="10">
        <v>85</v>
      </c>
      <c r="I26" s="10">
        <v>187</v>
      </c>
      <c r="J26" s="10">
        <v>135</v>
      </c>
      <c r="K26" s="10">
        <v>32</v>
      </c>
      <c r="L26" s="10">
        <v>107</v>
      </c>
      <c r="M26" s="10">
        <v>42</v>
      </c>
      <c r="N26" s="11">
        <f t="shared" si="0"/>
        <v>1106</v>
      </c>
    </row>
    <row r="27" spans="1:14" x14ac:dyDescent="0.15">
      <c r="A27" s="8" t="s">
        <v>49</v>
      </c>
      <c r="B27" s="10">
        <v>234</v>
      </c>
      <c r="C27" s="10">
        <v>336</v>
      </c>
      <c r="D27" s="10">
        <v>222</v>
      </c>
      <c r="E27" s="10">
        <v>336</v>
      </c>
      <c r="F27" s="10">
        <v>456</v>
      </c>
      <c r="G27" s="10">
        <v>372</v>
      </c>
      <c r="H27" s="10">
        <v>282</v>
      </c>
      <c r="I27" s="10">
        <v>450</v>
      </c>
      <c r="J27" s="10">
        <v>402</v>
      </c>
      <c r="K27" s="10">
        <v>468</v>
      </c>
      <c r="L27" s="10">
        <v>312</v>
      </c>
      <c r="M27" s="10">
        <v>306</v>
      </c>
      <c r="N27" s="11">
        <f t="shared" si="0"/>
        <v>4176</v>
      </c>
    </row>
    <row r="28" spans="1:14" x14ac:dyDescent="0.15">
      <c r="A28" s="8" t="s">
        <v>51</v>
      </c>
      <c r="B28" s="10">
        <v>1060</v>
      </c>
      <c r="C28" s="10">
        <v>960</v>
      </c>
      <c r="D28" s="10">
        <v>1290</v>
      </c>
      <c r="E28" s="10">
        <v>1681</v>
      </c>
      <c r="F28" s="10">
        <v>1565</v>
      </c>
      <c r="G28" s="10">
        <v>1470</v>
      </c>
      <c r="H28" s="10">
        <v>1640</v>
      </c>
      <c r="I28" s="10">
        <v>1696</v>
      </c>
      <c r="J28" s="10">
        <v>1872</v>
      </c>
      <c r="K28" s="10">
        <v>1760</v>
      </c>
      <c r="L28" s="10">
        <v>1270</v>
      </c>
      <c r="M28" s="10">
        <v>819</v>
      </c>
      <c r="N28" s="11">
        <f t="shared" si="0"/>
        <v>17083</v>
      </c>
    </row>
    <row r="29" spans="1:14" x14ac:dyDescent="0.15">
      <c r="A29" s="8" t="s">
        <v>53</v>
      </c>
      <c r="B29" s="10">
        <v>3858</v>
      </c>
      <c r="C29" s="10">
        <v>5085</v>
      </c>
      <c r="D29" s="10">
        <v>5391</v>
      </c>
      <c r="E29" s="10">
        <v>3651</v>
      </c>
      <c r="F29" s="10">
        <v>5177</v>
      </c>
      <c r="G29" s="10">
        <v>6003</v>
      </c>
      <c r="H29" s="10">
        <v>5259</v>
      </c>
      <c r="I29" s="10">
        <v>5823</v>
      </c>
      <c r="J29" s="10">
        <v>6733</v>
      </c>
      <c r="K29" s="10">
        <v>7032</v>
      </c>
      <c r="L29" s="10">
        <v>5098</v>
      </c>
      <c r="M29" s="10">
        <v>3744</v>
      </c>
      <c r="N29" s="11">
        <f t="shared" si="0"/>
        <v>62854</v>
      </c>
    </row>
    <row r="30" spans="1:14" x14ac:dyDescent="0.15">
      <c r="A30" s="8" t="s">
        <v>55</v>
      </c>
      <c r="B30" s="10">
        <v>7352</v>
      </c>
      <c r="C30" s="10">
        <v>8107</v>
      </c>
      <c r="D30" s="10">
        <v>4663</v>
      </c>
      <c r="E30" s="10">
        <v>6145</v>
      </c>
      <c r="F30" s="10">
        <v>7317</v>
      </c>
      <c r="G30" s="10">
        <v>7243</v>
      </c>
      <c r="H30" s="10">
        <v>6829</v>
      </c>
      <c r="I30" s="10">
        <v>7443</v>
      </c>
      <c r="J30" s="10">
        <v>8137</v>
      </c>
      <c r="K30" s="10">
        <v>7000</v>
      </c>
      <c r="L30" s="10">
        <v>6360</v>
      </c>
      <c r="M30" s="10">
        <v>5510</v>
      </c>
      <c r="N30" s="11">
        <f t="shared" si="0"/>
        <v>82106</v>
      </c>
    </row>
    <row r="31" spans="1:14" x14ac:dyDescent="0.15">
      <c r="A31" s="8" t="s">
        <v>57</v>
      </c>
      <c r="B31" s="10">
        <v>540</v>
      </c>
      <c r="C31" s="10">
        <v>209</v>
      </c>
      <c r="D31" s="10">
        <v>485</v>
      </c>
      <c r="E31" s="10">
        <v>332</v>
      </c>
      <c r="F31" s="10">
        <v>-9</v>
      </c>
      <c r="G31" s="10">
        <v>415</v>
      </c>
      <c r="H31" s="10">
        <v>757</v>
      </c>
      <c r="I31" s="10">
        <v>429</v>
      </c>
      <c r="J31" s="10">
        <v>334</v>
      </c>
      <c r="K31" s="10">
        <v>313</v>
      </c>
      <c r="L31" s="10">
        <v>293</v>
      </c>
      <c r="M31" s="10">
        <v>211</v>
      </c>
      <c r="N31" s="11">
        <f t="shared" si="0"/>
        <v>4309</v>
      </c>
    </row>
    <row r="32" spans="1:14" x14ac:dyDescent="0.15">
      <c r="A32" s="8" t="s">
        <v>59</v>
      </c>
      <c r="B32" s="10">
        <v>780</v>
      </c>
      <c r="C32" s="10">
        <v>640</v>
      </c>
      <c r="D32" s="10">
        <v>1155</v>
      </c>
      <c r="E32" s="10">
        <v>570</v>
      </c>
      <c r="F32" s="10">
        <v>530</v>
      </c>
      <c r="G32" s="10">
        <v>1040</v>
      </c>
      <c r="H32" s="10">
        <v>984</v>
      </c>
      <c r="I32" s="10">
        <v>660</v>
      </c>
      <c r="J32" s="10">
        <v>620</v>
      </c>
      <c r="K32" s="10">
        <v>680</v>
      </c>
      <c r="L32" s="10">
        <v>884</v>
      </c>
      <c r="M32" s="10">
        <v>670</v>
      </c>
      <c r="N32" s="11">
        <f t="shared" si="0"/>
        <v>9213</v>
      </c>
    </row>
    <row r="33" spans="1:15" x14ac:dyDescent="0.15">
      <c r="A33" s="8" t="s">
        <v>61</v>
      </c>
      <c r="B33" s="10">
        <v>594</v>
      </c>
      <c r="C33" s="10">
        <v>576</v>
      </c>
      <c r="D33" s="10">
        <v>596</v>
      </c>
      <c r="E33" s="10">
        <v>378</v>
      </c>
      <c r="F33" s="10">
        <v>618</v>
      </c>
      <c r="G33" s="10">
        <v>660</v>
      </c>
      <c r="H33" s="10">
        <v>258</v>
      </c>
      <c r="I33" s="10">
        <v>630</v>
      </c>
      <c r="J33" s="10">
        <v>468</v>
      </c>
      <c r="K33" s="10">
        <v>642</v>
      </c>
      <c r="L33" s="10">
        <v>642</v>
      </c>
      <c r="M33" s="10">
        <v>336</v>
      </c>
      <c r="N33" s="11">
        <f t="shared" si="0"/>
        <v>6398</v>
      </c>
    </row>
    <row r="34" spans="1:15" x14ac:dyDescent="0.15">
      <c r="A34" s="8" t="s">
        <v>63</v>
      </c>
      <c r="B34" s="10">
        <v>871</v>
      </c>
      <c r="C34" s="10">
        <v>875</v>
      </c>
      <c r="D34" s="10">
        <v>920</v>
      </c>
      <c r="E34" s="10">
        <v>480</v>
      </c>
      <c r="F34" s="10">
        <v>792</v>
      </c>
      <c r="G34" s="10">
        <v>660</v>
      </c>
      <c r="H34" s="10">
        <v>660</v>
      </c>
      <c r="I34" s="10">
        <v>762</v>
      </c>
      <c r="J34" s="10">
        <v>910</v>
      </c>
      <c r="K34" s="10">
        <v>630</v>
      </c>
      <c r="L34" s="10">
        <v>782</v>
      </c>
      <c r="M34" s="10">
        <v>720</v>
      </c>
      <c r="N34" s="11">
        <f t="shared" si="0"/>
        <v>9062</v>
      </c>
    </row>
    <row r="35" spans="1:15" x14ac:dyDescent="0.15">
      <c r="A35" s="8" t="s">
        <v>65</v>
      </c>
      <c r="B35" s="10">
        <v>9088</v>
      </c>
      <c r="C35" s="10">
        <v>6495</v>
      </c>
      <c r="D35" s="10">
        <v>6027</v>
      </c>
      <c r="E35" s="10">
        <v>7170</v>
      </c>
      <c r="F35" s="10">
        <v>8377</v>
      </c>
      <c r="G35" s="10">
        <v>9736</v>
      </c>
      <c r="H35" s="10">
        <v>3814</v>
      </c>
      <c r="I35" s="10">
        <v>8219</v>
      </c>
      <c r="J35" s="10">
        <v>8045</v>
      </c>
      <c r="K35" s="10">
        <v>8548</v>
      </c>
      <c r="L35" s="10">
        <v>6778</v>
      </c>
      <c r="M35" s="10">
        <v>5125</v>
      </c>
      <c r="N35" s="11">
        <f t="shared" si="0"/>
        <v>87422</v>
      </c>
    </row>
    <row r="36" spans="1:15" x14ac:dyDescent="0.15">
      <c r="A36" s="8" t="s">
        <v>67</v>
      </c>
      <c r="B36" s="10">
        <v>419</v>
      </c>
      <c r="C36" s="10">
        <v>110</v>
      </c>
      <c r="D36" s="10">
        <v>83</v>
      </c>
      <c r="E36" s="10">
        <v>241</v>
      </c>
      <c r="F36" s="10">
        <v>132</v>
      </c>
      <c r="G36" s="10">
        <v>127</v>
      </c>
      <c r="H36" s="10">
        <v>125</v>
      </c>
      <c r="I36" s="10">
        <v>309</v>
      </c>
      <c r="J36" s="10">
        <v>119</v>
      </c>
      <c r="K36" s="10">
        <v>284</v>
      </c>
      <c r="L36" s="10">
        <v>303</v>
      </c>
      <c r="M36" s="10">
        <v>179</v>
      </c>
      <c r="N36" s="11">
        <f t="shared" si="0"/>
        <v>2431</v>
      </c>
    </row>
    <row r="37" spans="1:15" x14ac:dyDescent="0.15">
      <c r="A37" s="8" t="s">
        <v>69</v>
      </c>
      <c r="B37" s="10">
        <v>910</v>
      </c>
      <c r="C37" s="10">
        <v>960</v>
      </c>
      <c r="D37" s="10">
        <v>630</v>
      </c>
      <c r="E37" s="10">
        <v>470</v>
      </c>
      <c r="F37" s="10">
        <v>892</v>
      </c>
      <c r="G37" s="10">
        <v>661</v>
      </c>
      <c r="H37" s="10">
        <v>610</v>
      </c>
      <c r="I37" s="10">
        <v>1285</v>
      </c>
      <c r="J37" s="10">
        <v>1060</v>
      </c>
      <c r="K37" s="10">
        <v>890</v>
      </c>
      <c r="L37" s="10">
        <v>750</v>
      </c>
      <c r="M37" s="10">
        <v>525</v>
      </c>
      <c r="N37" s="11">
        <f t="shared" si="0"/>
        <v>9643</v>
      </c>
    </row>
    <row r="38" spans="1:15" x14ac:dyDescent="0.15">
      <c r="A38" s="8" t="s">
        <v>71</v>
      </c>
      <c r="B38" s="10">
        <v>5420</v>
      </c>
      <c r="C38" s="10">
        <v>4110</v>
      </c>
      <c r="D38" s="10">
        <v>2140</v>
      </c>
      <c r="E38" s="10">
        <v>2410</v>
      </c>
      <c r="F38" s="10">
        <v>3890</v>
      </c>
      <c r="G38" s="10">
        <v>4210</v>
      </c>
      <c r="H38" s="10">
        <v>3890</v>
      </c>
      <c r="I38" s="10">
        <v>4890</v>
      </c>
      <c r="J38" s="10">
        <v>4710</v>
      </c>
      <c r="K38" s="10">
        <v>4540</v>
      </c>
      <c r="L38" s="10">
        <v>3350</v>
      </c>
      <c r="M38" s="10">
        <v>3480</v>
      </c>
      <c r="N38" s="11">
        <f t="shared" si="0"/>
        <v>47040</v>
      </c>
    </row>
    <row r="39" spans="1:15" x14ac:dyDescent="0.15">
      <c r="A39" s="8" t="s">
        <v>73</v>
      </c>
      <c r="B39" s="10">
        <v>7330</v>
      </c>
      <c r="C39" s="10">
        <v>7390</v>
      </c>
      <c r="D39" s="10">
        <v>3850</v>
      </c>
      <c r="E39" s="10">
        <v>4140</v>
      </c>
      <c r="F39" s="10">
        <v>6160</v>
      </c>
      <c r="G39" s="10">
        <v>7520</v>
      </c>
      <c r="H39" s="10">
        <v>6860</v>
      </c>
      <c r="I39" s="10">
        <v>6910</v>
      </c>
      <c r="J39" s="10">
        <v>7730</v>
      </c>
      <c r="K39" s="10">
        <v>6960</v>
      </c>
      <c r="L39" s="10">
        <v>5240</v>
      </c>
      <c r="M39" s="10">
        <v>4570</v>
      </c>
      <c r="N39" s="11">
        <f t="shared" si="0"/>
        <v>74660</v>
      </c>
    </row>
    <row r="40" spans="1:15" ht="13" thickBot="1" x14ac:dyDescent="0.2">
      <c r="A40" s="12"/>
      <c r="B40" s="14">
        <f t="shared" ref="B40:N40" si="1">SUM(B12:B39)</f>
        <v>73172</v>
      </c>
      <c r="C40" s="14">
        <f t="shared" si="1"/>
        <v>58184</v>
      </c>
      <c r="D40" s="14">
        <f t="shared" si="1"/>
        <v>55978</v>
      </c>
      <c r="E40" s="14">
        <f t="shared" si="1"/>
        <v>48791</v>
      </c>
      <c r="F40" s="14">
        <f t="shared" si="1"/>
        <v>63276</v>
      </c>
      <c r="G40" s="14">
        <f t="shared" si="1"/>
        <v>68212</v>
      </c>
      <c r="H40" s="14">
        <f t="shared" si="1"/>
        <v>57438</v>
      </c>
      <c r="I40" s="14">
        <f t="shared" si="1"/>
        <v>64723</v>
      </c>
      <c r="J40" s="14">
        <f t="shared" si="1"/>
        <v>67504</v>
      </c>
      <c r="K40" s="14">
        <f t="shared" si="1"/>
        <v>74981</v>
      </c>
      <c r="L40" s="14">
        <f t="shared" si="1"/>
        <v>64249</v>
      </c>
      <c r="M40" s="14">
        <f t="shared" si="1"/>
        <v>54022</v>
      </c>
      <c r="N40" s="40">
        <f t="shared" si="1"/>
        <v>750530</v>
      </c>
    </row>
    <row r="43" spans="1:15" ht="13" thickBot="1" x14ac:dyDescent="0.2">
      <c r="A43" s="2" t="s">
        <v>77</v>
      </c>
    </row>
    <row r="44" spans="1:15" ht="26" x14ac:dyDescent="0.15">
      <c r="A44" s="4" t="s">
        <v>0</v>
      </c>
      <c r="B44" s="6">
        <v>46023</v>
      </c>
      <c r="C44" s="6">
        <v>46054</v>
      </c>
      <c r="D44" s="6">
        <v>46082</v>
      </c>
      <c r="E44" s="6">
        <v>46113</v>
      </c>
      <c r="F44" s="6">
        <v>46143</v>
      </c>
      <c r="G44" s="6">
        <v>46174</v>
      </c>
      <c r="H44" s="6">
        <v>46204</v>
      </c>
      <c r="I44" s="6">
        <v>46235</v>
      </c>
      <c r="J44" s="6">
        <v>46266</v>
      </c>
      <c r="K44" s="6">
        <v>46296</v>
      </c>
      <c r="L44" s="6">
        <v>46327</v>
      </c>
      <c r="M44" s="6">
        <v>46357</v>
      </c>
      <c r="N44" s="7" t="s">
        <v>78</v>
      </c>
      <c r="O44" s="20" t="s">
        <v>79</v>
      </c>
    </row>
    <row r="45" spans="1:15" x14ac:dyDescent="0.15">
      <c r="A45" s="8" t="s">
        <v>2</v>
      </c>
      <c r="B45" s="10">
        <v>4372</v>
      </c>
      <c r="C45" s="10">
        <v>5192</v>
      </c>
      <c r="D45" s="10">
        <v>1721</v>
      </c>
      <c r="E45" s="116">
        <v>2650</v>
      </c>
      <c r="F45" s="16"/>
      <c r="G45" s="16"/>
      <c r="H45" s="16"/>
      <c r="I45" s="16"/>
      <c r="J45" s="16"/>
      <c r="K45" s="16"/>
      <c r="L45" s="16"/>
      <c r="M45" s="16"/>
      <c r="N45" s="41">
        <f>SUM(B45:M45)</f>
        <v>13935</v>
      </c>
      <c r="O45" s="19">
        <f>N45/N3</f>
        <v>0.18325158134213537</v>
      </c>
    </row>
    <row r="46" spans="1:15" x14ac:dyDescent="0.15">
      <c r="A46" s="8" t="s">
        <v>4</v>
      </c>
      <c r="B46" s="10">
        <v>1900</v>
      </c>
      <c r="C46" s="10">
        <v>1740</v>
      </c>
      <c r="D46" s="10">
        <v>1580</v>
      </c>
      <c r="E46" s="116">
        <v>1280</v>
      </c>
      <c r="F46" s="16"/>
      <c r="G46" s="16"/>
      <c r="H46" s="16"/>
      <c r="I46" s="16"/>
      <c r="J46" s="16"/>
      <c r="K46" s="16"/>
      <c r="L46" s="16"/>
      <c r="M46" s="16"/>
      <c r="N46" s="41">
        <f t="shared" ref="N46:N81" si="2">SUM(B46:M46)</f>
        <v>6500</v>
      </c>
      <c r="O46" s="19">
        <f>N46/N4</f>
        <v>0.29707495429616088</v>
      </c>
    </row>
    <row r="47" spans="1:15" x14ac:dyDescent="0.15">
      <c r="A47" s="8" t="s">
        <v>6</v>
      </c>
      <c r="B47" s="10"/>
      <c r="C47" s="10">
        <v>0</v>
      </c>
      <c r="D47" s="10">
        <v>0</v>
      </c>
      <c r="E47" s="115"/>
      <c r="F47" s="16"/>
      <c r="G47" s="16"/>
      <c r="H47" s="16"/>
      <c r="I47" s="16"/>
      <c r="J47" s="16"/>
      <c r="K47" s="16"/>
      <c r="L47" s="16"/>
      <c r="M47" s="16"/>
      <c r="N47" s="41">
        <f t="shared" si="2"/>
        <v>0</v>
      </c>
    </row>
    <row r="48" spans="1:15" x14ac:dyDescent="0.15">
      <c r="A48" s="8" t="s">
        <v>8</v>
      </c>
      <c r="B48" s="10"/>
      <c r="C48" s="10">
        <v>0</v>
      </c>
      <c r="D48" s="10">
        <v>0</v>
      </c>
      <c r="E48" s="115"/>
      <c r="F48" s="16"/>
      <c r="G48" s="16"/>
      <c r="H48" s="16"/>
      <c r="I48" s="16"/>
      <c r="J48" s="16"/>
      <c r="K48" s="16"/>
      <c r="L48" s="16"/>
      <c r="M48" s="16"/>
      <c r="N48" s="41">
        <f t="shared" si="2"/>
        <v>0</v>
      </c>
    </row>
    <row r="49" spans="1:15" x14ac:dyDescent="0.15">
      <c r="A49" s="8" t="s">
        <v>10</v>
      </c>
      <c r="B49" s="10">
        <v>13</v>
      </c>
      <c r="C49" s="10">
        <v>1528</v>
      </c>
      <c r="D49" s="10">
        <v>527</v>
      </c>
      <c r="E49" s="116">
        <v>317</v>
      </c>
      <c r="F49" s="16"/>
      <c r="G49" s="16"/>
      <c r="H49" s="16"/>
      <c r="I49" s="16"/>
      <c r="J49" s="16"/>
      <c r="K49" s="16"/>
      <c r="L49" s="16"/>
      <c r="M49" s="16"/>
      <c r="N49" s="41">
        <f t="shared" si="2"/>
        <v>2385</v>
      </c>
      <c r="O49" s="19">
        <f>N49/N7</f>
        <v>0.64669197396963118</v>
      </c>
    </row>
    <row r="50" spans="1:15" x14ac:dyDescent="0.15">
      <c r="A50" s="8" t="s">
        <v>12</v>
      </c>
      <c r="B50" s="10"/>
      <c r="C50" s="10"/>
      <c r="D50" s="10"/>
      <c r="E50" s="115"/>
      <c r="F50" s="16"/>
      <c r="G50" s="16"/>
      <c r="H50" s="16"/>
      <c r="I50" s="16"/>
      <c r="J50" s="16"/>
      <c r="K50" s="16"/>
      <c r="L50" s="16"/>
      <c r="M50" s="16"/>
      <c r="N50" s="41">
        <f t="shared" si="2"/>
        <v>0</v>
      </c>
    </row>
    <row r="51" spans="1:15" x14ac:dyDescent="0.15">
      <c r="A51" s="8" t="s">
        <v>14</v>
      </c>
      <c r="B51" s="10">
        <v>208</v>
      </c>
      <c r="C51" s="10">
        <v>51</v>
      </c>
      <c r="D51" s="10">
        <v>124</v>
      </c>
      <c r="E51" s="116">
        <v>112</v>
      </c>
      <c r="F51" s="16"/>
      <c r="G51" s="16"/>
      <c r="H51" s="16"/>
      <c r="I51" s="16"/>
      <c r="J51" s="16"/>
      <c r="K51" s="16"/>
      <c r="L51" s="16"/>
      <c r="M51" s="16"/>
      <c r="N51" s="41">
        <f t="shared" si="2"/>
        <v>495</v>
      </c>
      <c r="O51" s="19">
        <f>N51/N9</f>
        <v>0.72262773722627738</v>
      </c>
    </row>
    <row r="52" spans="1:15" x14ac:dyDescent="0.15">
      <c r="A52" s="8" t="s">
        <v>16</v>
      </c>
      <c r="B52" s="10">
        <v>4246</v>
      </c>
      <c r="C52" s="10">
        <v>7769</v>
      </c>
      <c r="D52" s="10">
        <v>5560</v>
      </c>
      <c r="E52" s="116">
        <v>6153</v>
      </c>
      <c r="F52" s="16"/>
      <c r="G52" s="16"/>
      <c r="H52" s="16"/>
      <c r="I52" s="16"/>
      <c r="J52" s="16"/>
      <c r="K52" s="16"/>
      <c r="L52" s="16"/>
      <c r="M52" s="16"/>
      <c r="N52" s="41">
        <f t="shared" si="2"/>
        <v>23728</v>
      </c>
      <c r="O52" s="19">
        <f>N52/N10</f>
        <v>0.32447215840717647</v>
      </c>
    </row>
    <row r="53" spans="1:15" x14ac:dyDescent="0.15">
      <c r="A53" s="8" t="s">
        <v>18</v>
      </c>
      <c r="B53" s="10"/>
      <c r="C53" s="10"/>
      <c r="D53" s="10">
        <v>0</v>
      </c>
      <c r="E53" s="115"/>
      <c r="F53" s="16"/>
      <c r="G53" s="16"/>
      <c r="H53" s="16"/>
      <c r="I53" s="16"/>
      <c r="J53" s="16"/>
      <c r="K53" s="16"/>
      <c r="L53" s="16"/>
      <c r="M53" s="16"/>
      <c r="N53" s="41">
        <f t="shared" si="2"/>
        <v>0</v>
      </c>
    </row>
    <row r="54" spans="1:15" x14ac:dyDescent="0.15">
      <c r="A54" s="8" t="s">
        <v>20</v>
      </c>
      <c r="B54" s="10">
        <v>627</v>
      </c>
      <c r="C54" s="10">
        <v>0</v>
      </c>
      <c r="D54" s="10">
        <v>0</v>
      </c>
      <c r="E54" s="115"/>
      <c r="F54" s="16"/>
      <c r="G54" s="16"/>
      <c r="H54" s="16"/>
      <c r="I54" s="16"/>
      <c r="J54" s="16"/>
      <c r="K54" s="16"/>
      <c r="L54" s="16"/>
      <c r="M54" s="16"/>
      <c r="N54" s="41">
        <f t="shared" si="2"/>
        <v>627</v>
      </c>
      <c r="O54" s="19">
        <f>N54/N12</f>
        <v>6.9350735538104197E-2</v>
      </c>
    </row>
    <row r="55" spans="1:15" x14ac:dyDescent="0.15">
      <c r="A55" s="8" t="s">
        <v>22</v>
      </c>
      <c r="B55" s="10">
        <v>940</v>
      </c>
      <c r="C55" s="10">
        <v>513</v>
      </c>
      <c r="D55" s="10">
        <v>580</v>
      </c>
      <c r="E55" s="116">
        <v>719</v>
      </c>
      <c r="F55" s="16"/>
      <c r="G55" s="16"/>
      <c r="H55" s="16"/>
      <c r="I55" s="16"/>
      <c r="J55" s="16"/>
      <c r="K55" s="16"/>
      <c r="L55" s="16"/>
      <c r="M55" s="16"/>
      <c r="N55" s="41">
        <f t="shared" si="2"/>
        <v>2752</v>
      </c>
      <c r="O55" s="19">
        <f>N55/N13</f>
        <v>2.0339985218034</v>
      </c>
    </row>
    <row r="56" spans="1:15" x14ac:dyDescent="0.15">
      <c r="A56" s="8" t="s">
        <v>24</v>
      </c>
      <c r="B56" s="10">
        <v>557</v>
      </c>
      <c r="C56" s="10">
        <v>713</v>
      </c>
      <c r="D56" s="10">
        <v>549</v>
      </c>
      <c r="E56" s="116">
        <v>216</v>
      </c>
      <c r="F56" s="16"/>
      <c r="G56" s="16"/>
      <c r="H56" s="16"/>
      <c r="I56" s="16"/>
      <c r="J56" s="16"/>
      <c r="K56" s="16"/>
      <c r="L56" s="16"/>
      <c r="M56" s="16"/>
      <c r="N56" s="41">
        <f t="shared" si="2"/>
        <v>2035</v>
      </c>
      <c r="O56" s="19">
        <f>N56/N14</f>
        <v>0.34738818709457153</v>
      </c>
    </row>
    <row r="57" spans="1:15" x14ac:dyDescent="0.15">
      <c r="A57" s="8" t="s">
        <v>26</v>
      </c>
      <c r="B57" s="10">
        <v>200</v>
      </c>
      <c r="C57" s="10">
        <v>300</v>
      </c>
      <c r="D57" s="10">
        <v>0</v>
      </c>
      <c r="E57" s="115"/>
      <c r="F57" s="16"/>
      <c r="G57" s="16"/>
      <c r="H57" s="16"/>
      <c r="I57" s="16"/>
      <c r="J57" s="16"/>
      <c r="K57" s="16"/>
      <c r="L57" s="16"/>
      <c r="M57" s="16"/>
      <c r="N57" s="41">
        <f t="shared" si="2"/>
        <v>500</v>
      </c>
      <c r="O57" s="19">
        <f>N57/N15</f>
        <v>0.10799136069114471</v>
      </c>
    </row>
    <row r="58" spans="1:15" x14ac:dyDescent="0.15">
      <c r="A58" s="8" t="s">
        <v>28</v>
      </c>
      <c r="B58" s="10">
        <v>0</v>
      </c>
      <c r="C58" s="10">
        <v>0</v>
      </c>
      <c r="D58" s="10"/>
      <c r="E58" s="115"/>
      <c r="F58" s="16"/>
      <c r="G58" s="16"/>
      <c r="H58" s="16"/>
      <c r="I58" s="16"/>
      <c r="J58" s="16"/>
      <c r="K58" s="16"/>
      <c r="L58" s="16"/>
      <c r="M58" s="16"/>
      <c r="N58" s="41">
        <f t="shared" si="2"/>
        <v>0</v>
      </c>
    </row>
    <row r="59" spans="1:15" x14ac:dyDescent="0.15">
      <c r="A59" s="8" t="s">
        <v>30</v>
      </c>
      <c r="B59" s="10">
        <v>1</v>
      </c>
      <c r="C59" s="10">
        <v>1</v>
      </c>
      <c r="D59" s="10">
        <v>0</v>
      </c>
      <c r="E59" s="115"/>
      <c r="F59" s="16"/>
      <c r="G59" s="16"/>
      <c r="H59" s="16"/>
      <c r="I59" s="16"/>
      <c r="J59" s="16"/>
      <c r="K59" s="16"/>
      <c r="L59" s="16"/>
      <c r="M59" s="16"/>
      <c r="N59" s="41">
        <f t="shared" si="2"/>
        <v>2</v>
      </c>
      <c r="O59" s="19">
        <f>N59/N17</f>
        <v>5.750431282346176E-4</v>
      </c>
    </row>
    <row r="60" spans="1:15" x14ac:dyDescent="0.15">
      <c r="A60" s="8" t="s">
        <v>32</v>
      </c>
      <c r="B60" s="10"/>
      <c r="C60" s="10">
        <v>0</v>
      </c>
      <c r="D60" s="10">
        <v>0</v>
      </c>
      <c r="E60" s="115"/>
      <c r="F60" s="16"/>
      <c r="G60" s="16"/>
      <c r="H60" s="16"/>
      <c r="I60" s="16"/>
      <c r="J60" s="16"/>
      <c r="K60" s="16"/>
      <c r="L60" s="16"/>
      <c r="M60" s="16"/>
      <c r="N60" s="41">
        <f t="shared" si="2"/>
        <v>0</v>
      </c>
    </row>
    <row r="61" spans="1:15" x14ac:dyDescent="0.15">
      <c r="A61" s="8" t="s">
        <v>34</v>
      </c>
      <c r="B61" s="10">
        <v>3279</v>
      </c>
      <c r="C61" s="10">
        <v>3486</v>
      </c>
      <c r="D61" s="10">
        <v>3262</v>
      </c>
      <c r="E61" s="116">
        <v>2357</v>
      </c>
      <c r="F61" s="16"/>
      <c r="G61" s="16"/>
      <c r="H61" s="16"/>
      <c r="I61" s="16"/>
      <c r="J61" s="16"/>
      <c r="K61" s="16"/>
      <c r="L61" s="16"/>
      <c r="M61" s="16"/>
      <c r="N61" s="41">
        <f t="shared" si="2"/>
        <v>12384</v>
      </c>
      <c r="O61" s="19">
        <f t="shared" ref="O61:O81" si="3">N61/N19</f>
        <v>0.30864320606121026</v>
      </c>
    </row>
    <row r="62" spans="1:15" x14ac:dyDescent="0.15">
      <c r="A62" s="8" t="s">
        <v>36</v>
      </c>
      <c r="B62" s="10">
        <v>2032</v>
      </c>
      <c r="C62" s="10">
        <v>2506</v>
      </c>
      <c r="D62" s="10">
        <v>1192</v>
      </c>
      <c r="E62" s="116">
        <v>2744</v>
      </c>
      <c r="F62" s="16"/>
      <c r="G62" s="16"/>
      <c r="H62" s="16"/>
      <c r="I62" s="16"/>
      <c r="J62" s="16"/>
      <c r="K62" s="16"/>
      <c r="L62" s="16"/>
      <c r="M62" s="16"/>
      <c r="N62" s="41">
        <f t="shared" si="2"/>
        <v>8474</v>
      </c>
      <c r="O62" s="19">
        <f t="shared" si="3"/>
        <v>0.42821769670018694</v>
      </c>
    </row>
    <row r="63" spans="1:15" x14ac:dyDescent="0.15">
      <c r="A63" s="8" t="s">
        <v>38</v>
      </c>
      <c r="B63" s="10">
        <v>1777</v>
      </c>
      <c r="C63" s="10">
        <v>2141</v>
      </c>
      <c r="D63" s="10">
        <v>1314</v>
      </c>
      <c r="E63" s="116">
        <v>148</v>
      </c>
      <c r="F63" s="16"/>
      <c r="G63" s="16"/>
      <c r="H63" s="16"/>
      <c r="I63" s="16"/>
      <c r="J63" s="16"/>
      <c r="K63" s="16"/>
      <c r="L63" s="16"/>
      <c r="M63" s="16"/>
      <c r="N63" s="41">
        <f t="shared" si="2"/>
        <v>5380</v>
      </c>
      <c r="O63" s="19">
        <f t="shared" si="3"/>
        <v>0.35733262486716261</v>
      </c>
    </row>
    <row r="64" spans="1:15" x14ac:dyDescent="0.15">
      <c r="A64" s="8" t="s">
        <v>40</v>
      </c>
      <c r="B64" s="10">
        <v>4514</v>
      </c>
      <c r="C64" s="10">
        <v>5157</v>
      </c>
      <c r="D64" s="10">
        <v>5981</v>
      </c>
      <c r="E64" s="116">
        <v>3763</v>
      </c>
      <c r="F64" s="16"/>
      <c r="G64" s="16"/>
      <c r="H64" s="16"/>
      <c r="I64" s="16"/>
      <c r="J64" s="16"/>
      <c r="K64" s="16"/>
      <c r="L64" s="16"/>
      <c r="M64" s="16"/>
      <c r="N64" s="41">
        <f t="shared" si="2"/>
        <v>19415</v>
      </c>
      <c r="O64" s="19">
        <f t="shared" si="3"/>
        <v>0.40336151912409368</v>
      </c>
    </row>
    <row r="65" spans="1:15" x14ac:dyDescent="0.15">
      <c r="A65" s="8" t="s">
        <v>42</v>
      </c>
      <c r="B65" s="10">
        <v>3373</v>
      </c>
      <c r="C65" s="10">
        <v>3668</v>
      </c>
      <c r="D65" s="10">
        <v>3669</v>
      </c>
      <c r="E65" s="116">
        <v>4774</v>
      </c>
      <c r="F65" s="16"/>
      <c r="G65" s="16"/>
      <c r="H65" s="16"/>
      <c r="I65" s="16"/>
      <c r="J65" s="16"/>
      <c r="K65" s="16"/>
      <c r="L65" s="16"/>
      <c r="M65" s="16"/>
      <c r="N65" s="41">
        <f t="shared" si="2"/>
        <v>15484</v>
      </c>
      <c r="O65" s="19">
        <f t="shared" si="3"/>
        <v>0.35242170429715952</v>
      </c>
    </row>
    <row r="66" spans="1:15" x14ac:dyDescent="0.15">
      <c r="A66" s="8" t="s">
        <v>43</v>
      </c>
      <c r="B66" s="10">
        <v>3593</v>
      </c>
      <c r="C66" s="10">
        <v>4854</v>
      </c>
      <c r="D66" s="10">
        <v>2327</v>
      </c>
      <c r="E66" s="116">
        <v>6280</v>
      </c>
      <c r="F66" s="16"/>
      <c r="G66" s="16"/>
      <c r="H66" s="16"/>
      <c r="I66" s="16"/>
      <c r="J66" s="16"/>
      <c r="K66" s="16"/>
      <c r="L66" s="16"/>
      <c r="M66" s="16"/>
      <c r="N66" s="41">
        <f t="shared" si="2"/>
        <v>17054</v>
      </c>
      <c r="O66" s="19">
        <f t="shared" si="3"/>
        <v>0.25985067804357764</v>
      </c>
    </row>
    <row r="67" spans="1:15" x14ac:dyDescent="0.15">
      <c r="A67" s="8" t="s">
        <v>45</v>
      </c>
      <c r="B67" s="10">
        <v>2576</v>
      </c>
      <c r="C67" s="10">
        <v>4650</v>
      </c>
      <c r="D67" s="10">
        <v>2211</v>
      </c>
      <c r="E67" s="116">
        <v>3390</v>
      </c>
      <c r="F67" s="16"/>
      <c r="G67" s="16"/>
      <c r="H67" s="16"/>
      <c r="I67" s="16"/>
      <c r="J67" s="16"/>
      <c r="K67" s="16"/>
      <c r="L67" s="16"/>
      <c r="M67" s="16"/>
      <c r="N67" s="41">
        <f t="shared" si="2"/>
        <v>12827</v>
      </c>
      <c r="O67" s="19">
        <f t="shared" si="3"/>
        <v>0.23416762509812514</v>
      </c>
    </row>
    <row r="68" spans="1:15" x14ac:dyDescent="0.15">
      <c r="A68" s="8" t="s">
        <v>47</v>
      </c>
      <c r="B68" s="10">
        <v>34</v>
      </c>
      <c r="C68" s="10">
        <v>23</v>
      </c>
      <c r="D68" s="10">
        <v>3</v>
      </c>
      <c r="E68" s="116">
        <v>229</v>
      </c>
      <c r="F68" s="16"/>
      <c r="G68" s="16"/>
      <c r="H68" s="16"/>
      <c r="I68" s="16"/>
      <c r="J68" s="16"/>
      <c r="K68" s="16"/>
      <c r="L68" s="16"/>
      <c r="M68" s="16"/>
      <c r="N68" s="41">
        <f t="shared" si="2"/>
        <v>289</v>
      </c>
      <c r="O68" s="19">
        <f t="shared" si="3"/>
        <v>0.2613019891500904</v>
      </c>
    </row>
    <row r="69" spans="1:15" x14ac:dyDescent="0.15">
      <c r="A69" s="8" t="s">
        <v>49</v>
      </c>
      <c r="B69" s="10">
        <v>288</v>
      </c>
      <c r="C69" s="10">
        <v>372</v>
      </c>
      <c r="D69" s="10">
        <v>246</v>
      </c>
      <c r="E69" s="116">
        <v>265</v>
      </c>
      <c r="F69" s="16"/>
      <c r="G69" s="16"/>
      <c r="H69" s="16"/>
      <c r="I69" s="16"/>
      <c r="J69" s="16"/>
      <c r="K69" s="16"/>
      <c r="L69" s="16"/>
      <c r="M69" s="16"/>
      <c r="N69" s="41">
        <f t="shared" si="2"/>
        <v>1171</v>
      </c>
      <c r="O69" s="19">
        <f t="shared" si="3"/>
        <v>0.28041187739463602</v>
      </c>
    </row>
    <row r="70" spans="1:15" x14ac:dyDescent="0.15">
      <c r="A70" s="8" t="s">
        <v>51</v>
      </c>
      <c r="B70" s="10">
        <v>788</v>
      </c>
      <c r="C70" s="10">
        <v>2360</v>
      </c>
      <c r="D70" s="10">
        <v>1210</v>
      </c>
      <c r="E70" s="116">
        <v>1290</v>
      </c>
      <c r="F70" s="16"/>
      <c r="G70" s="16"/>
      <c r="H70" s="16"/>
      <c r="I70" s="16"/>
      <c r="J70" s="16"/>
      <c r="K70" s="16"/>
      <c r="L70" s="16"/>
      <c r="M70" s="16"/>
      <c r="N70" s="41">
        <f t="shared" si="2"/>
        <v>5648</v>
      </c>
      <c r="O70" s="19">
        <f t="shared" si="3"/>
        <v>0.33062108528946904</v>
      </c>
    </row>
    <row r="71" spans="1:15" x14ac:dyDescent="0.15">
      <c r="A71" s="8" t="s">
        <v>53</v>
      </c>
      <c r="B71" s="10">
        <v>4334</v>
      </c>
      <c r="C71" s="10">
        <v>6251</v>
      </c>
      <c r="D71" s="10">
        <v>5266</v>
      </c>
      <c r="E71" s="116">
        <v>4986</v>
      </c>
      <c r="F71" s="16"/>
      <c r="G71" s="16"/>
      <c r="H71" s="16"/>
      <c r="I71" s="16"/>
      <c r="J71" s="16"/>
      <c r="K71" s="16"/>
      <c r="L71" s="16"/>
      <c r="M71" s="16"/>
      <c r="N71" s="41">
        <f t="shared" si="2"/>
        <v>20837</v>
      </c>
      <c r="O71" s="19">
        <f t="shared" si="3"/>
        <v>0.33151430298787665</v>
      </c>
    </row>
    <row r="72" spans="1:15" x14ac:dyDescent="0.15">
      <c r="A72" s="8" t="s">
        <v>55</v>
      </c>
      <c r="B72" s="10">
        <v>5820</v>
      </c>
      <c r="C72" s="10">
        <v>6799</v>
      </c>
      <c r="D72" s="10">
        <v>5123</v>
      </c>
      <c r="E72" s="116">
        <v>4416</v>
      </c>
      <c r="F72" s="16"/>
      <c r="G72" s="16"/>
      <c r="H72" s="16"/>
      <c r="I72" s="16"/>
      <c r="J72" s="16"/>
      <c r="K72" s="16"/>
      <c r="L72" s="16"/>
      <c r="M72" s="16"/>
      <c r="N72" s="41">
        <f t="shared" si="2"/>
        <v>22158</v>
      </c>
      <c r="O72" s="19">
        <f t="shared" si="3"/>
        <v>0.26987065500694224</v>
      </c>
    </row>
    <row r="73" spans="1:15" x14ac:dyDescent="0.15">
      <c r="A73" s="8" t="s">
        <v>57</v>
      </c>
      <c r="B73" s="10">
        <v>224</v>
      </c>
      <c r="C73" s="10">
        <v>260</v>
      </c>
      <c r="D73" s="10">
        <v>347</v>
      </c>
      <c r="E73" s="116">
        <v>280</v>
      </c>
      <c r="F73" s="16"/>
      <c r="G73" s="16"/>
      <c r="H73" s="16"/>
      <c r="I73" s="16"/>
      <c r="J73" s="16"/>
      <c r="K73" s="16"/>
      <c r="L73" s="16"/>
      <c r="M73" s="16"/>
      <c r="N73" s="41">
        <f t="shared" si="2"/>
        <v>1111</v>
      </c>
      <c r="O73" s="19">
        <f t="shared" si="3"/>
        <v>0.25783244372244141</v>
      </c>
    </row>
    <row r="74" spans="1:15" x14ac:dyDescent="0.15">
      <c r="A74" s="8" t="s">
        <v>59</v>
      </c>
      <c r="B74" s="10">
        <v>670</v>
      </c>
      <c r="C74" s="10">
        <v>838</v>
      </c>
      <c r="D74" s="10">
        <v>654</v>
      </c>
      <c r="E74" s="116">
        <v>620</v>
      </c>
      <c r="F74" s="16"/>
      <c r="G74" s="16"/>
      <c r="H74" s="16"/>
      <c r="I74" s="16"/>
      <c r="J74" s="16"/>
      <c r="K74" s="16"/>
      <c r="L74" s="16"/>
      <c r="M74" s="16"/>
      <c r="N74" s="41">
        <f t="shared" si="2"/>
        <v>2782</v>
      </c>
      <c r="O74" s="19">
        <f t="shared" si="3"/>
        <v>0.30196461521762724</v>
      </c>
    </row>
    <row r="75" spans="1:15" x14ac:dyDescent="0.15">
      <c r="A75" s="8" t="s">
        <v>61</v>
      </c>
      <c r="B75" s="10">
        <v>765</v>
      </c>
      <c r="C75" s="10">
        <v>528</v>
      </c>
      <c r="D75" s="10">
        <v>564</v>
      </c>
      <c r="E75" s="116">
        <v>504</v>
      </c>
      <c r="F75" s="16"/>
      <c r="G75" s="16"/>
      <c r="H75" s="16"/>
      <c r="I75" s="16"/>
      <c r="J75" s="16"/>
      <c r="K75" s="16"/>
      <c r="L75" s="16"/>
      <c r="M75" s="16"/>
      <c r="N75" s="41">
        <f t="shared" si="2"/>
        <v>2361</v>
      </c>
      <c r="O75" s="19">
        <f t="shared" si="3"/>
        <v>0.36902156924038765</v>
      </c>
    </row>
    <row r="76" spans="1:15" x14ac:dyDescent="0.15">
      <c r="A76" s="8" t="s">
        <v>63</v>
      </c>
      <c r="B76" s="10">
        <v>450</v>
      </c>
      <c r="C76" s="10">
        <v>630</v>
      </c>
      <c r="D76" s="10">
        <v>330</v>
      </c>
      <c r="E76" s="116">
        <v>590</v>
      </c>
      <c r="F76" s="16"/>
      <c r="G76" s="16"/>
      <c r="H76" s="16"/>
      <c r="I76" s="16"/>
      <c r="J76" s="16"/>
      <c r="K76" s="16"/>
      <c r="L76" s="16"/>
      <c r="M76" s="16"/>
      <c r="N76" s="41">
        <f t="shared" si="2"/>
        <v>2000</v>
      </c>
      <c r="O76" s="19">
        <f t="shared" si="3"/>
        <v>0.22070183182520414</v>
      </c>
    </row>
    <row r="77" spans="1:15" x14ac:dyDescent="0.15">
      <c r="A77" s="8" t="s">
        <v>65</v>
      </c>
      <c r="B77" s="10">
        <v>5651</v>
      </c>
      <c r="C77" s="10">
        <v>7077</v>
      </c>
      <c r="D77" s="10">
        <v>4609</v>
      </c>
      <c r="E77" s="116">
        <v>3942</v>
      </c>
      <c r="F77" s="16"/>
      <c r="G77" s="16"/>
      <c r="H77" s="16"/>
      <c r="I77" s="16"/>
      <c r="J77" s="16"/>
      <c r="K77" s="16"/>
      <c r="L77" s="16"/>
      <c r="M77" s="16"/>
      <c r="N77" s="41">
        <f t="shared" si="2"/>
        <v>21279</v>
      </c>
      <c r="O77" s="19">
        <f t="shared" si="3"/>
        <v>0.24340555009036627</v>
      </c>
    </row>
    <row r="78" spans="1:15" x14ac:dyDescent="0.15">
      <c r="A78" s="8" t="s">
        <v>67</v>
      </c>
      <c r="B78" s="10">
        <v>162</v>
      </c>
      <c r="C78" s="10">
        <v>371</v>
      </c>
      <c r="D78" s="10">
        <v>119</v>
      </c>
      <c r="E78" s="116">
        <v>73</v>
      </c>
      <c r="F78" s="16"/>
      <c r="G78" s="16"/>
      <c r="H78" s="16"/>
      <c r="I78" s="16"/>
      <c r="J78" s="16"/>
      <c r="K78" s="16"/>
      <c r="L78" s="16"/>
      <c r="M78" s="16"/>
      <c r="N78" s="41">
        <f t="shared" si="2"/>
        <v>725</v>
      </c>
      <c r="O78" s="19">
        <f t="shared" si="3"/>
        <v>0.29823118058412174</v>
      </c>
    </row>
    <row r="79" spans="1:15" x14ac:dyDescent="0.15">
      <c r="A79" s="8" t="s">
        <v>69</v>
      </c>
      <c r="B79" s="10">
        <v>420</v>
      </c>
      <c r="C79" s="10">
        <v>1335</v>
      </c>
      <c r="D79" s="10">
        <v>280</v>
      </c>
      <c r="E79" s="116">
        <v>600</v>
      </c>
      <c r="F79" s="16"/>
      <c r="G79" s="16"/>
      <c r="H79" s="16"/>
      <c r="I79" s="16"/>
      <c r="J79" s="16"/>
      <c r="K79" s="16"/>
      <c r="L79" s="16"/>
      <c r="M79" s="16"/>
      <c r="N79" s="41">
        <f t="shared" si="2"/>
        <v>2635</v>
      </c>
      <c r="O79" s="19">
        <f t="shared" si="3"/>
        <v>0.27325521103391059</v>
      </c>
    </row>
    <row r="80" spans="1:15" x14ac:dyDescent="0.15">
      <c r="A80" s="8" t="s">
        <v>71</v>
      </c>
      <c r="B80" s="10">
        <v>4290</v>
      </c>
      <c r="C80" s="10">
        <v>3910</v>
      </c>
      <c r="D80" s="10">
        <v>1380</v>
      </c>
      <c r="E80" s="116">
        <v>3010</v>
      </c>
      <c r="F80" s="16"/>
      <c r="G80" s="16"/>
      <c r="H80" s="16"/>
      <c r="I80" s="16"/>
      <c r="J80" s="16"/>
      <c r="K80" s="16"/>
      <c r="L80" s="16"/>
      <c r="M80" s="16"/>
      <c r="N80" s="41">
        <f t="shared" si="2"/>
        <v>12590</v>
      </c>
      <c r="O80" s="19">
        <f t="shared" si="3"/>
        <v>0.26764455782312924</v>
      </c>
    </row>
    <row r="81" spans="1:15" x14ac:dyDescent="0.15">
      <c r="A81" s="8" t="s">
        <v>73</v>
      </c>
      <c r="B81" s="10">
        <v>6670</v>
      </c>
      <c r="C81" s="10">
        <v>5580</v>
      </c>
      <c r="D81" s="10">
        <v>2460</v>
      </c>
      <c r="E81" s="116">
        <v>5340</v>
      </c>
      <c r="F81" s="16"/>
      <c r="G81" s="16"/>
      <c r="H81" s="16"/>
      <c r="I81" s="16"/>
      <c r="J81" s="16"/>
      <c r="K81" s="16"/>
      <c r="L81" s="16"/>
      <c r="M81" s="16"/>
      <c r="N81" s="41">
        <f t="shared" si="2"/>
        <v>20050</v>
      </c>
      <c r="O81" s="19">
        <f t="shared" si="3"/>
        <v>0.2685507634610233</v>
      </c>
    </row>
    <row r="82" spans="1:15" ht="13" thickBot="1" x14ac:dyDescent="0.2">
      <c r="A82" s="12"/>
      <c r="B82" s="14">
        <f>SUM(B45:B81)</f>
        <v>64774</v>
      </c>
      <c r="C82" s="14">
        <f>SUM(C45:C81)</f>
        <v>80603</v>
      </c>
      <c r="D82" s="14">
        <f>SUM(D45:D81)</f>
        <v>53188</v>
      </c>
      <c r="E82" s="14">
        <f>SUM(E45:E81)</f>
        <v>61048</v>
      </c>
      <c r="F82" s="17"/>
      <c r="G82" s="17"/>
      <c r="H82" s="17"/>
      <c r="I82" s="17"/>
      <c r="J82" s="17"/>
      <c r="K82" s="17"/>
      <c r="L82" s="17"/>
      <c r="M82" s="17"/>
      <c r="N82" s="18">
        <f>SUM(N45:N81)</f>
        <v>259613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E9442-9AFD-420F-A29D-039E34F5FDF3}">
  <sheetPr>
    <tabColor rgb="FFFFC000"/>
  </sheetPr>
  <dimension ref="A1:F43"/>
  <sheetViews>
    <sheetView workbookViewId="0">
      <selection activeCell="E40" sqref="E40"/>
    </sheetView>
  </sheetViews>
  <sheetFormatPr baseColWidth="10" defaultColWidth="8.6640625" defaultRowHeight="12" x14ac:dyDescent="0.15"/>
  <cols>
    <col min="1" max="1" width="24.1640625" style="36" bestFit="1" customWidth="1"/>
    <col min="2" max="2" width="8.6640625" style="36"/>
    <col min="3" max="3" width="24.1640625" style="36" customWidth="1"/>
    <col min="4" max="4" width="8.6640625" style="36"/>
    <col min="5" max="5" width="19.83203125" style="36" bestFit="1" customWidth="1"/>
    <col min="6" max="16384" width="8.6640625" style="36"/>
  </cols>
  <sheetData>
    <row r="1" spans="1:6" ht="13" thickBot="1" x14ac:dyDescent="0.2"/>
    <row r="2" spans="1:6" x14ac:dyDescent="0.15">
      <c r="A2" s="25" t="s">
        <v>0</v>
      </c>
      <c r="B2" s="5" t="s">
        <v>143</v>
      </c>
      <c r="C2" s="26" t="s">
        <v>144</v>
      </c>
      <c r="D2" s="5" t="s">
        <v>141</v>
      </c>
      <c r="E2" s="5" t="s">
        <v>158</v>
      </c>
      <c r="F2" s="7" t="s">
        <v>142</v>
      </c>
    </row>
    <row r="3" spans="1:6" ht="13" x14ac:dyDescent="0.2">
      <c r="A3" s="27" t="s">
        <v>2</v>
      </c>
      <c r="B3" s="43" t="s">
        <v>3</v>
      </c>
      <c r="C3" s="28">
        <f>D3*12</f>
        <v>69408</v>
      </c>
      <c r="D3" s="9">
        <f>'[1]2026-2027'!$F$2</f>
        <v>5784</v>
      </c>
      <c r="E3" s="9">
        <f>'[2]2026-2027'!$S$2</f>
        <v>25500</v>
      </c>
      <c r="F3" s="51">
        <f>E3/D3</f>
        <v>4.4087136929460584</v>
      </c>
    </row>
    <row r="4" spans="1:6" ht="13" x14ac:dyDescent="0.2">
      <c r="A4" s="27" t="s">
        <v>4</v>
      </c>
      <c r="B4" s="43" t="s">
        <v>5</v>
      </c>
      <c r="C4" s="28">
        <f>D4*12</f>
        <v>21744</v>
      </c>
      <c r="D4" s="9">
        <f>'[1]2026-2027'!$F$5</f>
        <v>1812</v>
      </c>
      <c r="E4" s="9">
        <f>'[2]2026-2027'!$S$5</f>
        <v>5061</v>
      </c>
      <c r="F4" s="51">
        <f>E4/D4</f>
        <v>2.7930463576158941</v>
      </c>
    </row>
    <row r="5" spans="1:6" ht="13" x14ac:dyDescent="0.2">
      <c r="A5" s="35" t="s">
        <v>6</v>
      </c>
      <c r="B5" s="44" t="s">
        <v>7</v>
      </c>
      <c r="C5" s="38"/>
      <c r="D5" s="37"/>
      <c r="E5" s="37"/>
      <c r="F5" s="45"/>
    </row>
    <row r="6" spans="1:6" ht="13" x14ac:dyDescent="0.2">
      <c r="A6" s="35" t="s">
        <v>8</v>
      </c>
      <c r="B6" s="44" t="s">
        <v>9</v>
      </c>
      <c r="C6" s="38"/>
      <c r="D6" s="37"/>
      <c r="E6" s="37"/>
      <c r="F6" s="45"/>
    </row>
    <row r="7" spans="1:6" ht="13" x14ac:dyDescent="0.2">
      <c r="A7" s="35" t="s">
        <v>10</v>
      </c>
      <c r="B7" s="44" t="s">
        <v>11</v>
      </c>
      <c r="C7" s="38"/>
      <c r="D7" s="37">
        <f>'[1]2026-2027'!$F$14</f>
        <v>406</v>
      </c>
      <c r="E7" s="37">
        <f>'[2]2026-2027'!$S$14</f>
        <v>1852</v>
      </c>
      <c r="F7" s="45">
        <f>E7/D7</f>
        <v>4.5615763546798034</v>
      </c>
    </row>
    <row r="8" spans="1:6" ht="13" x14ac:dyDescent="0.2">
      <c r="A8" s="35" t="s">
        <v>12</v>
      </c>
      <c r="B8" s="44" t="s">
        <v>13</v>
      </c>
      <c r="C8" s="38"/>
      <c r="D8" s="37"/>
      <c r="E8" s="37"/>
      <c r="F8" s="45"/>
    </row>
    <row r="9" spans="1:6" ht="13" x14ac:dyDescent="0.2">
      <c r="A9" s="35" t="s">
        <v>14</v>
      </c>
      <c r="B9" s="44" t="s">
        <v>15</v>
      </c>
      <c r="C9" s="38"/>
      <c r="D9" s="37">
        <f>'[1]2026-2027'!$F$20</f>
        <v>89</v>
      </c>
      <c r="E9" s="37">
        <f>'[2]2026-2027'!$S$20</f>
        <v>20</v>
      </c>
      <c r="F9" s="45">
        <f>E9/D9</f>
        <v>0.2247191011235955</v>
      </c>
    </row>
    <row r="10" spans="1:6" ht="13" x14ac:dyDescent="0.2">
      <c r="A10" s="35" t="s">
        <v>16</v>
      </c>
      <c r="B10" s="44" t="s">
        <v>17</v>
      </c>
      <c r="C10" s="38"/>
      <c r="D10" s="37">
        <f>'[1]2026-2027'!$F$23</f>
        <v>6053</v>
      </c>
      <c r="E10" s="37">
        <f>'[2]2026-2027'!$S$23</f>
        <v>24107</v>
      </c>
      <c r="F10" s="45"/>
    </row>
    <row r="11" spans="1:6" ht="13" x14ac:dyDescent="0.2">
      <c r="A11" s="35" t="s">
        <v>18</v>
      </c>
      <c r="B11" s="46" t="s">
        <v>19</v>
      </c>
      <c r="C11" s="38"/>
      <c r="D11" s="37">
        <f>'[1]2026-2027'!$F$26</f>
        <v>5</v>
      </c>
      <c r="E11" s="37"/>
      <c r="F11" s="45"/>
    </row>
    <row r="12" spans="1:6" ht="13" x14ac:dyDescent="0.2">
      <c r="A12" s="35" t="s">
        <v>20</v>
      </c>
      <c r="B12" s="44" t="s">
        <v>21</v>
      </c>
      <c r="C12" s="38"/>
      <c r="D12" s="37">
        <f>'[1]2026-2027'!$F$29</f>
        <v>709</v>
      </c>
      <c r="E12" s="37"/>
      <c r="F12" s="45"/>
    </row>
    <row r="13" spans="1:6" ht="13" x14ac:dyDescent="0.2">
      <c r="A13" s="35" t="s">
        <v>22</v>
      </c>
      <c r="B13" s="44" t="s">
        <v>23</v>
      </c>
      <c r="C13" s="38"/>
      <c r="D13" s="37">
        <f>'[1]2026-2027'!$F$32</f>
        <v>281</v>
      </c>
      <c r="E13" s="37">
        <f>'[2]2026-2027'!$S$32</f>
        <v>5509</v>
      </c>
      <c r="F13" s="45">
        <f>E13/D13</f>
        <v>19.604982206405694</v>
      </c>
    </row>
    <row r="14" spans="1:6" ht="13" x14ac:dyDescent="0.2">
      <c r="A14" s="35" t="s">
        <v>24</v>
      </c>
      <c r="B14" s="44" t="s">
        <v>25</v>
      </c>
      <c r="C14" s="38"/>
      <c r="D14" s="37">
        <f>'[1]2026-2027'!$F$35</f>
        <v>537</v>
      </c>
      <c r="E14" s="37">
        <f>'[2]2026-2027'!$S$35</f>
        <v>219</v>
      </c>
      <c r="F14" s="45">
        <f>E14/D14</f>
        <v>0.40782122905027934</v>
      </c>
    </row>
    <row r="15" spans="1:6" ht="13" x14ac:dyDescent="0.2">
      <c r="A15" s="27" t="s">
        <v>26</v>
      </c>
      <c r="B15" s="47" t="s">
        <v>27</v>
      </c>
      <c r="C15" s="28">
        <f>D15*12</f>
        <v>3240</v>
      </c>
      <c r="D15" s="9">
        <f>'[1]2026-2027'!$F$38</f>
        <v>270</v>
      </c>
      <c r="E15" s="9"/>
      <c r="F15" s="48"/>
    </row>
    <row r="16" spans="1:6" ht="13" x14ac:dyDescent="0.2">
      <c r="A16" s="27" t="s">
        <v>28</v>
      </c>
      <c r="B16" s="47" t="s">
        <v>29</v>
      </c>
      <c r="C16" s="28"/>
      <c r="D16" s="9"/>
      <c r="E16" s="9"/>
      <c r="F16" s="48"/>
    </row>
    <row r="17" spans="1:6" ht="13" x14ac:dyDescent="0.2">
      <c r="A17" s="27" t="s">
        <v>30</v>
      </c>
      <c r="B17" s="47" t="s">
        <v>31</v>
      </c>
      <c r="C17" s="28">
        <f t="shared" ref="C17:C39" si="0">D17*12</f>
        <v>2928</v>
      </c>
      <c r="D17" s="9">
        <f>'[1]2026-2027'!$F$44</f>
        <v>244</v>
      </c>
      <c r="E17" s="9"/>
      <c r="F17" s="48"/>
    </row>
    <row r="18" spans="1:6" ht="13" x14ac:dyDescent="0.2">
      <c r="A18" s="27" t="s">
        <v>32</v>
      </c>
      <c r="B18" s="47" t="s">
        <v>33</v>
      </c>
      <c r="C18" s="28">
        <f t="shared" si="0"/>
        <v>20028</v>
      </c>
      <c r="D18" s="9">
        <f>'[1]2026-2027'!$F$47</f>
        <v>1669</v>
      </c>
      <c r="E18" s="9"/>
      <c r="F18" s="48"/>
    </row>
    <row r="19" spans="1:6" ht="13" x14ac:dyDescent="0.2">
      <c r="A19" s="27" t="s">
        <v>34</v>
      </c>
      <c r="B19" s="43" t="s">
        <v>35</v>
      </c>
      <c r="C19" s="28">
        <f t="shared" si="0"/>
        <v>34644</v>
      </c>
      <c r="D19" s="9">
        <f>'[1]2026-2027'!$F$50</f>
        <v>2887</v>
      </c>
      <c r="E19" s="9">
        <f>'[2]2026-2027'!$S$50</f>
        <v>22061</v>
      </c>
      <c r="F19" s="51">
        <f>E19/D19</f>
        <v>7.6414963630065813</v>
      </c>
    </row>
    <row r="20" spans="1:6" ht="13" x14ac:dyDescent="0.2">
      <c r="A20" s="27" t="s">
        <v>36</v>
      </c>
      <c r="B20" s="43" t="s">
        <v>37</v>
      </c>
      <c r="C20" s="28">
        <f t="shared" si="0"/>
        <v>21096</v>
      </c>
      <c r="D20" s="9">
        <f>'[1]2026-2027'!$F$53</f>
        <v>1758</v>
      </c>
      <c r="E20" s="9">
        <f>'[2]2026-2027'!$S$53</f>
        <v>4141</v>
      </c>
      <c r="F20" s="52">
        <f>E20/D20</f>
        <v>2.3555176336746304</v>
      </c>
    </row>
    <row r="21" spans="1:6" ht="13" x14ac:dyDescent="0.2">
      <c r="A21" s="27" t="s">
        <v>38</v>
      </c>
      <c r="B21" s="43" t="s">
        <v>39</v>
      </c>
      <c r="C21" s="28">
        <f t="shared" si="0"/>
        <v>18000</v>
      </c>
      <c r="D21" s="9">
        <f>'[1]2026-2027'!$F$56</f>
        <v>1500</v>
      </c>
      <c r="E21" s="9">
        <f>'[2]2026-2027'!$S$56</f>
        <v>611</v>
      </c>
      <c r="F21" s="52">
        <f>E21/D21</f>
        <v>0.40733333333333333</v>
      </c>
    </row>
    <row r="22" spans="1:6" ht="13" x14ac:dyDescent="0.2">
      <c r="A22" s="27" t="s">
        <v>40</v>
      </c>
      <c r="B22" s="43" t="s">
        <v>41</v>
      </c>
      <c r="C22" s="28">
        <f t="shared" si="0"/>
        <v>55008</v>
      </c>
      <c r="D22" s="9">
        <f>'[1]2026-2027'!$F$59</f>
        <v>4584</v>
      </c>
      <c r="E22" s="9">
        <f>'[2]2026-2027'!$S$59</f>
        <v>18271</v>
      </c>
      <c r="F22" s="51">
        <f>E22/D22</f>
        <v>3.9858202443280977</v>
      </c>
    </row>
    <row r="23" spans="1:6" ht="13" x14ac:dyDescent="0.2">
      <c r="A23" s="27" t="s">
        <v>42</v>
      </c>
      <c r="B23" s="43">
        <v>106742</v>
      </c>
      <c r="C23" s="28">
        <f t="shared" si="0"/>
        <v>46368</v>
      </c>
      <c r="D23" s="9">
        <f>'[1]2026-2027'!$F$62</f>
        <v>3864</v>
      </c>
      <c r="E23" s="9">
        <f>'[2]2026-2027'!$S$62</f>
        <v>5434</v>
      </c>
      <c r="F23" s="51">
        <f t="shared" ref="F23:F39" si="1">E23/D23</f>
        <v>1.4063146997929608</v>
      </c>
    </row>
    <row r="24" spans="1:6" ht="13" x14ac:dyDescent="0.2">
      <c r="A24" s="27" t="s">
        <v>43</v>
      </c>
      <c r="B24" s="49" t="s">
        <v>44</v>
      </c>
      <c r="C24" s="28">
        <f t="shared" si="0"/>
        <v>56832</v>
      </c>
      <c r="D24" s="9">
        <f>'[1]2026-2027'!$F$65</f>
        <v>4736</v>
      </c>
      <c r="E24" s="9">
        <f>'[2]2026-2027'!$S$65</f>
        <v>27117</v>
      </c>
      <c r="F24" s="51">
        <f t="shared" si="1"/>
        <v>5.7257179054054053</v>
      </c>
    </row>
    <row r="25" spans="1:6" ht="13" x14ac:dyDescent="0.2">
      <c r="A25" s="27" t="s">
        <v>45</v>
      </c>
      <c r="B25" s="49" t="s">
        <v>46</v>
      </c>
      <c r="C25" s="28">
        <f t="shared" si="0"/>
        <v>49332</v>
      </c>
      <c r="D25" s="9">
        <f>'[1]2026-2027'!$F$68</f>
        <v>4111</v>
      </c>
      <c r="E25" s="9">
        <f>'[2]2026-2027'!$S$68</f>
        <v>6246</v>
      </c>
      <c r="F25" s="51">
        <f t="shared" si="1"/>
        <v>1.5193383604962296</v>
      </c>
    </row>
    <row r="26" spans="1:6" ht="13" x14ac:dyDescent="0.2">
      <c r="A26" s="27" t="s">
        <v>47</v>
      </c>
      <c r="B26" s="49" t="s">
        <v>48</v>
      </c>
      <c r="C26" s="28">
        <f t="shared" si="0"/>
        <v>900</v>
      </c>
      <c r="D26" s="9">
        <f>'[1]2026-2027'!$F$71</f>
        <v>75</v>
      </c>
      <c r="E26" s="9">
        <f>'[2]2026-2027'!$S$71</f>
        <v>330</v>
      </c>
      <c r="F26" s="52">
        <f t="shared" si="1"/>
        <v>4.4000000000000004</v>
      </c>
    </row>
    <row r="27" spans="1:6" ht="13" x14ac:dyDescent="0.2">
      <c r="A27" s="27" t="s">
        <v>49</v>
      </c>
      <c r="B27" s="49" t="s">
        <v>50</v>
      </c>
      <c r="C27" s="28">
        <f t="shared" si="0"/>
        <v>4296</v>
      </c>
      <c r="D27" s="9">
        <f>'[1]2026-2027'!$F$74</f>
        <v>358</v>
      </c>
      <c r="E27" s="9">
        <f>'[2]2026-2027'!$S$74</f>
        <v>321</v>
      </c>
      <c r="F27" s="52">
        <f t="shared" si="1"/>
        <v>0.8966480446927374</v>
      </c>
    </row>
    <row r="28" spans="1:6" ht="13" x14ac:dyDescent="0.2">
      <c r="A28" s="27" t="s">
        <v>51</v>
      </c>
      <c r="B28" s="49" t="s">
        <v>52</v>
      </c>
      <c r="C28" s="28">
        <f t="shared" si="0"/>
        <v>18132</v>
      </c>
      <c r="D28" s="9">
        <f>'[1]2026-2027'!$F$77</f>
        <v>1511</v>
      </c>
      <c r="E28" s="9">
        <f>'[2]2026-2027'!$S$77</f>
        <v>5350</v>
      </c>
      <c r="F28" s="51">
        <f t="shared" si="1"/>
        <v>3.5407015221707479</v>
      </c>
    </row>
    <row r="29" spans="1:6" ht="13" x14ac:dyDescent="0.2">
      <c r="A29" s="27" t="s">
        <v>53</v>
      </c>
      <c r="B29" s="49" t="s">
        <v>54</v>
      </c>
      <c r="C29" s="28">
        <f t="shared" si="0"/>
        <v>64368</v>
      </c>
      <c r="D29" s="9">
        <f>'[1]2026-2027'!$F$80</f>
        <v>5364</v>
      </c>
      <c r="E29" s="9">
        <f>'[2]2026-2027'!$S$80</f>
        <v>11064</v>
      </c>
      <c r="F29" s="51">
        <f t="shared" si="1"/>
        <v>2.0626398210290828</v>
      </c>
    </row>
    <row r="30" spans="1:6" ht="13" x14ac:dyDescent="0.2">
      <c r="A30" s="27" t="s">
        <v>55</v>
      </c>
      <c r="B30" s="49" t="s">
        <v>56</v>
      </c>
      <c r="C30" s="28">
        <f t="shared" si="0"/>
        <v>79728</v>
      </c>
      <c r="D30" s="9">
        <f>'[1]2026-2027'!$F$83</f>
        <v>6644</v>
      </c>
      <c r="E30" s="9">
        <f>'[2]2026-2027'!$S$83</f>
        <v>23525</v>
      </c>
      <c r="F30" s="51">
        <f t="shared" si="1"/>
        <v>3.5407886815171583</v>
      </c>
    </row>
    <row r="31" spans="1:6" ht="13" x14ac:dyDescent="0.2">
      <c r="A31" s="27" t="s">
        <v>57</v>
      </c>
      <c r="B31" s="49" t="s">
        <v>58</v>
      </c>
      <c r="C31" s="28">
        <f t="shared" si="0"/>
        <v>3912</v>
      </c>
      <c r="D31" s="9">
        <f>'[1]2026-2027'!$F$86</f>
        <v>326</v>
      </c>
      <c r="E31" s="9">
        <f>'[2]2026-2027'!$S$86</f>
        <v>1013</v>
      </c>
      <c r="F31" s="51">
        <f t="shared" si="1"/>
        <v>3.1073619631901841</v>
      </c>
    </row>
    <row r="32" spans="1:6" ht="13" x14ac:dyDescent="0.2">
      <c r="A32" s="27" t="s">
        <v>59</v>
      </c>
      <c r="B32" s="49" t="s">
        <v>60</v>
      </c>
      <c r="C32" s="28">
        <f t="shared" si="0"/>
        <v>8796</v>
      </c>
      <c r="D32" s="9">
        <f>'[1]2026-2027'!$F$89</f>
        <v>733</v>
      </c>
      <c r="E32" s="9">
        <f>'[2]2026-2027'!$S$89</f>
        <v>2270</v>
      </c>
      <c r="F32" s="51">
        <f t="shared" si="1"/>
        <v>3.0968622100954981</v>
      </c>
    </row>
    <row r="33" spans="1:6" ht="13" x14ac:dyDescent="0.2">
      <c r="A33" s="27" t="s">
        <v>61</v>
      </c>
      <c r="B33" s="49" t="s">
        <v>62</v>
      </c>
      <c r="C33" s="28">
        <f t="shared" si="0"/>
        <v>6492</v>
      </c>
      <c r="D33" s="9">
        <f>'[1]2026-2027'!$F$92</f>
        <v>541</v>
      </c>
      <c r="E33" s="9">
        <f>'[2]2026-2027'!$S$92</f>
        <v>1364</v>
      </c>
      <c r="F33" s="51">
        <f t="shared" si="1"/>
        <v>2.521256931608133</v>
      </c>
    </row>
    <row r="34" spans="1:6" ht="13" x14ac:dyDescent="0.2">
      <c r="A34" s="27" t="s">
        <v>63</v>
      </c>
      <c r="B34" s="49" t="s">
        <v>64</v>
      </c>
      <c r="C34" s="28">
        <f t="shared" si="0"/>
        <v>7800</v>
      </c>
      <c r="D34" s="9">
        <f>'[1]2026-2027'!$F$95</f>
        <v>650</v>
      </c>
      <c r="E34" s="9">
        <f>'[2]2026-2027'!$S$95</f>
        <v>2912</v>
      </c>
      <c r="F34" s="51">
        <f t="shared" si="1"/>
        <v>4.4800000000000004</v>
      </c>
    </row>
    <row r="35" spans="1:6" ht="13" x14ac:dyDescent="0.2">
      <c r="A35" s="27" t="s">
        <v>65</v>
      </c>
      <c r="B35" s="49" t="s">
        <v>66</v>
      </c>
      <c r="C35" s="28">
        <f t="shared" si="0"/>
        <v>83148</v>
      </c>
      <c r="D35" s="9">
        <f>'[1]2026-2027'!$F$98</f>
        <v>6929</v>
      </c>
      <c r="E35" s="9">
        <f>'[2]2026-2027'!$S$98</f>
        <v>29222</v>
      </c>
      <c r="F35" s="51">
        <f t="shared" si="1"/>
        <v>4.2173473805743971</v>
      </c>
    </row>
    <row r="36" spans="1:6" ht="13" x14ac:dyDescent="0.2">
      <c r="A36" s="27" t="s">
        <v>67</v>
      </c>
      <c r="B36" s="49" t="s">
        <v>68</v>
      </c>
      <c r="C36" s="28">
        <f t="shared" si="0"/>
        <v>2472</v>
      </c>
      <c r="D36" s="9">
        <f>'[1]2026-2027'!$F$101</f>
        <v>206</v>
      </c>
      <c r="E36" s="9">
        <f>'[2]2026-2027'!$S$101</f>
        <v>280</v>
      </c>
      <c r="F36" s="51">
        <f t="shared" si="1"/>
        <v>1.3592233009708738</v>
      </c>
    </row>
    <row r="37" spans="1:6" ht="13" x14ac:dyDescent="0.2">
      <c r="A37" s="27" t="s">
        <v>69</v>
      </c>
      <c r="B37" s="49" t="s">
        <v>70</v>
      </c>
      <c r="C37" s="28">
        <f t="shared" si="0"/>
        <v>9180</v>
      </c>
      <c r="D37" s="9">
        <f>'[1]2026-2027'!$F$104</f>
        <v>765</v>
      </c>
      <c r="E37" s="9">
        <f>'[2]2026-2027'!$S$104</f>
        <v>913</v>
      </c>
      <c r="F37" s="51">
        <f t="shared" si="1"/>
        <v>1.1934640522875817</v>
      </c>
    </row>
    <row r="38" spans="1:6" ht="13" x14ac:dyDescent="0.2">
      <c r="A38" s="27" t="s">
        <v>71</v>
      </c>
      <c r="B38" s="49" t="s">
        <v>72</v>
      </c>
      <c r="C38" s="28">
        <f t="shared" si="0"/>
        <v>44952</v>
      </c>
      <c r="D38" s="9">
        <f>'[1]2026-2027'!$F$107</f>
        <v>3746</v>
      </c>
      <c r="E38" s="9">
        <f>'[2]2026-2027'!$S$107</f>
        <v>12034</v>
      </c>
      <c r="F38" s="51">
        <f t="shared" si="1"/>
        <v>3.2124933262146289</v>
      </c>
    </row>
    <row r="39" spans="1:6" ht="13" x14ac:dyDescent="0.2">
      <c r="A39" s="27" t="s">
        <v>73</v>
      </c>
      <c r="B39" s="49" t="s">
        <v>74</v>
      </c>
      <c r="C39" s="28">
        <f t="shared" si="0"/>
        <v>70800</v>
      </c>
      <c r="D39" s="9">
        <f>'[1]2026-2027'!$F$110</f>
        <v>5900</v>
      </c>
      <c r="E39" s="9">
        <f>'[2]2026-2027'!$S$110</f>
        <v>21397</v>
      </c>
      <c r="F39" s="51">
        <f t="shared" si="1"/>
        <v>3.6266101694915256</v>
      </c>
    </row>
    <row r="40" spans="1:6" ht="14" thickBot="1" x14ac:dyDescent="0.25">
      <c r="A40" s="29"/>
      <c r="B40" s="50"/>
      <c r="C40" s="30"/>
      <c r="D40" s="13"/>
      <c r="E40" s="13"/>
      <c r="F40" s="15"/>
    </row>
    <row r="41" spans="1:6" ht="13" x14ac:dyDescent="0.2">
      <c r="B41" s="42"/>
    </row>
    <row r="42" spans="1:6" ht="13" x14ac:dyDescent="0.2">
      <c r="B42" s="1"/>
    </row>
    <row r="43" spans="1:6" ht="13" x14ac:dyDescent="0.2">
      <c r="B43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81EDC-0727-4952-82C7-99232C954FAC}">
  <sheetPr>
    <tabColor theme="6" tint="0.59999389629810485"/>
  </sheetPr>
  <dimension ref="A1:L77"/>
  <sheetViews>
    <sheetView tabSelected="1" workbookViewId="0">
      <selection activeCell="C19" sqref="C19"/>
    </sheetView>
  </sheetViews>
  <sheetFormatPr baseColWidth="10" defaultColWidth="8.6640625" defaultRowHeight="12" x14ac:dyDescent="0.15"/>
  <cols>
    <col min="1" max="1" width="17.5" style="3" customWidth="1"/>
    <col min="2" max="2" width="8.83203125" style="3" bestFit="1" customWidth="1"/>
    <col min="3" max="3" width="39.83203125" style="3" bestFit="1" customWidth="1"/>
    <col min="4" max="4" width="15.33203125" style="3" bestFit="1" customWidth="1"/>
    <col min="5" max="5" width="10.83203125" style="3" bestFit="1" customWidth="1"/>
    <col min="6" max="6" width="11.33203125" style="3" bestFit="1" customWidth="1"/>
    <col min="7" max="7" width="10.33203125" style="3" customWidth="1"/>
    <col min="8" max="8" width="14.6640625" style="3" customWidth="1"/>
    <col min="9" max="9" width="12.1640625" style="3" customWidth="1"/>
    <col min="10" max="10" width="14.6640625" style="3" customWidth="1"/>
    <col min="11" max="11" width="10.6640625" style="3" customWidth="1"/>
    <col min="12" max="12" width="11.5" style="3" customWidth="1"/>
    <col min="13" max="16384" width="8.6640625" style="3"/>
  </cols>
  <sheetData>
    <row r="1" spans="1:12" ht="13" x14ac:dyDescent="0.15">
      <c r="A1" s="53" t="s">
        <v>82</v>
      </c>
      <c r="B1" s="54" t="s">
        <v>1</v>
      </c>
      <c r="C1" s="55" t="s">
        <v>83</v>
      </c>
      <c r="D1" s="56" t="s">
        <v>84</v>
      </c>
      <c r="E1" s="57" t="s">
        <v>85</v>
      </c>
      <c r="F1" s="53" t="s">
        <v>86</v>
      </c>
      <c r="G1" s="57" t="s">
        <v>85</v>
      </c>
      <c r="H1" s="53" t="s">
        <v>86</v>
      </c>
      <c r="I1" s="57" t="s">
        <v>85</v>
      </c>
      <c r="J1" s="53" t="s">
        <v>86</v>
      </c>
      <c r="K1" s="57" t="s">
        <v>85</v>
      </c>
      <c r="L1" s="53" t="s">
        <v>86</v>
      </c>
    </row>
    <row r="2" spans="1:12" ht="13" x14ac:dyDescent="0.15">
      <c r="A2" s="58"/>
      <c r="B2" s="59">
        <v>105528</v>
      </c>
      <c r="C2" s="60" t="s">
        <v>87</v>
      </c>
      <c r="D2" s="90">
        <f>E2+G2+I2+K2</f>
        <v>6850</v>
      </c>
      <c r="E2" s="61">
        <f>E3+E4</f>
        <v>1250</v>
      </c>
      <c r="F2" s="62" t="s">
        <v>88</v>
      </c>
      <c r="G2" s="61">
        <f>G3+G4+G5+G6+G7+G8+G9</f>
        <v>4900</v>
      </c>
      <c r="H2" s="62" t="s">
        <v>89</v>
      </c>
      <c r="I2" s="61">
        <f>I3</f>
        <v>700</v>
      </c>
      <c r="J2" s="62" t="s">
        <v>90</v>
      </c>
      <c r="K2" s="61"/>
      <c r="L2" s="62"/>
    </row>
    <row r="3" spans="1:12" ht="13" x14ac:dyDescent="0.15">
      <c r="A3" s="58"/>
      <c r="B3" s="59"/>
      <c r="C3" s="60"/>
      <c r="D3" s="90"/>
      <c r="E3" s="91">
        <v>500</v>
      </c>
      <c r="F3" s="92" t="s">
        <v>93</v>
      </c>
      <c r="G3" s="63">
        <v>750</v>
      </c>
      <c r="H3" s="64" t="s">
        <v>91</v>
      </c>
      <c r="I3" s="63">
        <v>700</v>
      </c>
      <c r="J3" s="64" t="s">
        <v>92</v>
      </c>
      <c r="K3" s="63"/>
      <c r="L3" s="65"/>
    </row>
    <row r="4" spans="1:12" ht="13" x14ac:dyDescent="0.15">
      <c r="A4" s="58"/>
      <c r="B4" s="59"/>
      <c r="C4" s="60"/>
      <c r="D4" s="90"/>
      <c r="E4" s="93">
        <v>750</v>
      </c>
      <c r="F4" s="94" t="s">
        <v>93</v>
      </c>
      <c r="G4" s="63">
        <v>750</v>
      </c>
      <c r="H4" s="64">
        <v>46266</v>
      </c>
      <c r="I4" s="63"/>
      <c r="J4" s="65"/>
      <c r="K4" s="63"/>
      <c r="L4" s="65"/>
    </row>
    <row r="5" spans="1:12" x14ac:dyDescent="0.15">
      <c r="A5" s="58"/>
      <c r="B5" s="59"/>
      <c r="C5" s="60"/>
      <c r="D5" s="90"/>
      <c r="E5" s="63"/>
      <c r="F5" s="64"/>
      <c r="G5" s="63">
        <v>750</v>
      </c>
      <c r="H5" s="64">
        <v>46327</v>
      </c>
      <c r="I5" s="63"/>
      <c r="J5" s="65"/>
      <c r="K5" s="63"/>
      <c r="L5" s="65"/>
    </row>
    <row r="6" spans="1:12" x14ac:dyDescent="0.15">
      <c r="A6" s="58"/>
      <c r="B6" s="59"/>
      <c r="C6" s="60"/>
      <c r="D6" s="90"/>
      <c r="E6" s="63"/>
      <c r="F6" s="64"/>
      <c r="G6" s="63">
        <v>750</v>
      </c>
      <c r="H6" s="64">
        <v>46388</v>
      </c>
      <c r="I6" s="63"/>
      <c r="J6" s="65"/>
      <c r="K6" s="63"/>
      <c r="L6" s="65"/>
    </row>
    <row r="7" spans="1:12" ht="13" x14ac:dyDescent="0.15">
      <c r="A7" s="58"/>
      <c r="B7" s="59"/>
      <c r="C7" s="60"/>
      <c r="D7" s="90"/>
      <c r="E7" s="63"/>
      <c r="F7" s="64"/>
      <c r="G7" s="63">
        <v>704</v>
      </c>
      <c r="H7" s="64" t="s">
        <v>94</v>
      </c>
      <c r="I7" s="63"/>
      <c r="J7" s="65"/>
      <c r="K7" s="63"/>
      <c r="L7" s="65"/>
    </row>
    <row r="8" spans="1:12" ht="13" x14ac:dyDescent="0.15">
      <c r="A8" s="58"/>
      <c r="B8" s="59"/>
      <c r="C8" s="60"/>
      <c r="D8" s="90"/>
      <c r="E8" s="63"/>
      <c r="F8" s="64"/>
      <c r="G8" s="63">
        <v>948</v>
      </c>
      <c r="H8" s="64" t="s">
        <v>95</v>
      </c>
      <c r="I8" s="63"/>
      <c r="J8" s="65"/>
      <c r="K8" s="63"/>
      <c r="L8" s="65"/>
    </row>
    <row r="9" spans="1:12" ht="13" x14ac:dyDescent="0.15">
      <c r="A9" s="58"/>
      <c r="B9" s="59"/>
      <c r="C9" s="60"/>
      <c r="D9" s="90"/>
      <c r="E9" s="63"/>
      <c r="F9" s="64"/>
      <c r="G9" s="63">
        <v>248</v>
      </c>
      <c r="H9" s="64" t="s">
        <v>92</v>
      </c>
      <c r="I9" s="63"/>
      <c r="J9" s="65"/>
      <c r="K9" s="63"/>
      <c r="L9" s="65"/>
    </row>
    <row r="10" spans="1:12" ht="13" x14ac:dyDescent="0.15">
      <c r="A10" s="58"/>
      <c r="B10" s="59">
        <v>105529</v>
      </c>
      <c r="C10" s="60" t="s">
        <v>96</v>
      </c>
      <c r="D10" s="90">
        <f t="shared" ref="D10:D39" si="0">E10+G10+I10+K10</f>
        <v>3200</v>
      </c>
      <c r="E10" s="61">
        <f>E11</f>
        <v>1600</v>
      </c>
      <c r="F10" s="62" t="s">
        <v>89</v>
      </c>
      <c r="G10" s="61">
        <f>G11</f>
        <v>1600</v>
      </c>
      <c r="H10" s="62" t="s">
        <v>90</v>
      </c>
      <c r="I10" s="61"/>
      <c r="J10" s="62"/>
      <c r="K10" s="61"/>
      <c r="L10" s="62"/>
    </row>
    <row r="11" spans="1:12" ht="13" x14ac:dyDescent="0.15">
      <c r="A11" s="58"/>
      <c r="B11" s="59"/>
      <c r="C11" s="60"/>
      <c r="D11" s="90"/>
      <c r="E11" s="93">
        <v>1600</v>
      </c>
      <c r="F11" s="95" t="s">
        <v>100</v>
      </c>
      <c r="G11" s="63">
        <v>1600</v>
      </c>
      <c r="H11" s="66" t="s">
        <v>102</v>
      </c>
      <c r="I11" s="63"/>
      <c r="J11" s="65"/>
      <c r="K11" s="63"/>
      <c r="L11" s="65"/>
    </row>
    <row r="12" spans="1:12" x14ac:dyDescent="0.15">
      <c r="A12" s="58"/>
      <c r="B12" s="59">
        <v>105522</v>
      </c>
      <c r="C12" s="60" t="s">
        <v>97</v>
      </c>
      <c r="D12" s="90">
        <f t="shared" si="0"/>
        <v>600</v>
      </c>
      <c r="E12" s="67">
        <f>E13</f>
        <v>600</v>
      </c>
      <c r="F12" s="68" t="s">
        <v>98</v>
      </c>
      <c r="G12" s="67"/>
      <c r="H12" s="68"/>
      <c r="I12" s="67"/>
      <c r="J12" s="68"/>
      <c r="K12" s="67"/>
      <c r="L12" s="68"/>
    </row>
    <row r="13" spans="1:12" x14ac:dyDescent="0.15">
      <c r="A13" s="58"/>
      <c r="B13" s="59"/>
      <c r="C13" s="60"/>
      <c r="D13" s="90"/>
      <c r="E13" s="69">
        <v>600</v>
      </c>
      <c r="F13" s="70" t="s">
        <v>91</v>
      </c>
      <c r="G13" s="67"/>
      <c r="H13" s="68"/>
      <c r="I13" s="67"/>
      <c r="J13" s="68"/>
      <c r="K13" s="67"/>
      <c r="L13" s="68"/>
    </row>
    <row r="14" spans="1:12" x14ac:dyDescent="0.15">
      <c r="A14" s="58"/>
      <c r="B14" s="59">
        <v>105525</v>
      </c>
      <c r="C14" s="60" t="s">
        <v>99</v>
      </c>
      <c r="D14" s="90">
        <f t="shared" si="0"/>
        <v>8000</v>
      </c>
      <c r="E14" s="67">
        <f>E15</f>
        <v>2000</v>
      </c>
      <c r="F14" s="68" t="s">
        <v>89</v>
      </c>
      <c r="G14" s="67">
        <f>G15+G16</f>
        <v>6000</v>
      </c>
      <c r="H14" s="68" t="s">
        <v>90</v>
      </c>
      <c r="I14" s="67"/>
      <c r="J14" s="68"/>
      <c r="K14" s="67"/>
      <c r="L14" s="68"/>
    </row>
    <row r="15" spans="1:12" x14ac:dyDescent="0.15">
      <c r="A15" s="96"/>
      <c r="B15" s="71"/>
      <c r="C15" s="72"/>
      <c r="D15" s="97"/>
      <c r="E15" s="98">
        <v>2000</v>
      </c>
      <c r="F15" s="99" t="s">
        <v>93</v>
      </c>
      <c r="G15" s="98">
        <v>4000</v>
      </c>
      <c r="H15" s="99" t="s">
        <v>100</v>
      </c>
      <c r="I15" s="69"/>
      <c r="J15" s="70"/>
      <c r="K15" s="69"/>
      <c r="L15" s="70"/>
    </row>
    <row r="16" spans="1:12" x14ac:dyDescent="0.15">
      <c r="A16" s="96"/>
      <c r="B16" s="71"/>
      <c r="C16" s="72"/>
      <c r="D16" s="97"/>
      <c r="E16" s="69"/>
      <c r="F16" s="70"/>
      <c r="G16" s="69">
        <v>2000</v>
      </c>
      <c r="H16" s="73" t="s">
        <v>102</v>
      </c>
      <c r="I16" s="69"/>
      <c r="J16" s="70"/>
      <c r="K16" s="69"/>
      <c r="L16" s="70"/>
    </row>
    <row r="17" spans="1:12" x14ac:dyDescent="0.15">
      <c r="A17" s="58"/>
      <c r="B17" s="59">
        <v>105526</v>
      </c>
      <c r="C17" s="60" t="s">
        <v>101</v>
      </c>
      <c r="D17" s="90">
        <f t="shared" si="0"/>
        <v>34748</v>
      </c>
      <c r="E17" s="67">
        <f>E18</f>
        <v>1748</v>
      </c>
      <c r="F17" s="68" t="s">
        <v>89</v>
      </c>
      <c r="G17" s="67">
        <f>G18+G19</f>
        <v>33000</v>
      </c>
      <c r="H17" s="68" t="s">
        <v>90</v>
      </c>
      <c r="I17" s="67"/>
      <c r="J17" s="68"/>
      <c r="K17" s="67"/>
      <c r="L17" s="68"/>
    </row>
    <row r="18" spans="1:12" x14ac:dyDescent="0.15">
      <c r="A18" s="96"/>
      <c r="B18" s="71"/>
      <c r="C18" s="72"/>
      <c r="D18" s="97"/>
      <c r="E18" s="98">
        <v>1748</v>
      </c>
      <c r="F18" s="99" t="s">
        <v>93</v>
      </c>
      <c r="G18" s="98">
        <v>16252</v>
      </c>
      <c r="H18" s="99" t="s">
        <v>93</v>
      </c>
      <c r="I18" s="69"/>
      <c r="J18" s="70"/>
      <c r="K18" s="69"/>
      <c r="L18" s="70"/>
    </row>
    <row r="19" spans="1:12" x14ac:dyDescent="0.15">
      <c r="A19" s="96"/>
      <c r="B19" s="71"/>
      <c r="C19" s="72"/>
      <c r="D19" s="97"/>
      <c r="E19" s="69"/>
      <c r="F19" s="70"/>
      <c r="G19" s="69">
        <v>16748</v>
      </c>
      <c r="H19" s="70" t="s">
        <v>91</v>
      </c>
      <c r="I19" s="69"/>
      <c r="J19" s="70"/>
      <c r="K19" s="69"/>
      <c r="L19" s="70"/>
    </row>
    <row r="20" spans="1:12" x14ac:dyDescent="0.15">
      <c r="A20" s="58"/>
      <c r="B20" s="59">
        <v>105531</v>
      </c>
      <c r="C20" s="60" t="s">
        <v>103</v>
      </c>
      <c r="D20" s="90">
        <f t="shared" si="0"/>
        <v>3000</v>
      </c>
      <c r="E20" s="67">
        <f>E21</f>
        <v>1350</v>
      </c>
      <c r="F20" s="68" t="s">
        <v>89</v>
      </c>
      <c r="G20" s="67">
        <f>G21</f>
        <v>1650</v>
      </c>
      <c r="H20" s="68" t="s">
        <v>90</v>
      </c>
      <c r="I20" s="67"/>
      <c r="J20" s="68"/>
      <c r="K20" s="67"/>
      <c r="L20" s="68"/>
    </row>
    <row r="21" spans="1:12" x14ac:dyDescent="0.15">
      <c r="A21" s="96"/>
      <c r="B21" s="71"/>
      <c r="C21" s="72"/>
      <c r="D21" s="97"/>
      <c r="E21" s="98">
        <v>1350</v>
      </c>
      <c r="F21" s="99" t="s">
        <v>93</v>
      </c>
      <c r="G21" s="98">
        <v>1650</v>
      </c>
      <c r="H21" s="99" t="s">
        <v>93</v>
      </c>
      <c r="I21" s="69"/>
      <c r="J21" s="70"/>
      <c r="K21" s="69"/>
      <c r="L21" s="70"/>
    </row>
    <row r="22" spans="1:12" x14ac:dyDescent="0.15">
      <c r="A22" s="58"/>
      <c r="B22" s="59">
        <v>105532</v>
      </c>
      <c r="C22" s="60" t="s">
        <v>104</v>
      </c>
      <c r="D22" s="90">
        <f t="shared" si="0"/>
        <v>2400</v>
      </c>
      <c r="E22" s="67">
        <f>E23+E24</f>
        <v>2400</v>
      </c>
      <c r="F22" s="68" t="s">
        <v>105</v>
      </c>
      <c r="G22" s="67"/>
      <c r="H22" s="68"/>
      <c r="I22" s="67"/>
      <c r="J22" s="68"/>
      <c r="K22" s="67"/>
      <c r="L22" s="68"/>
    </row>
    <row r="23" spans="1:12" x14ac:dyDescent="0.15">
      <c r="A23" s="96"/>
      <c r="B23" s="71"/>
      <c r="C23" s="72"/>
      <c r="D23" s="97"/>
      <c r="E23" s="98">
        <v>844</v>
      </c>
      <c r="F23" s="99" t="s">
        <v>93</v>
      </c>
      <c r="G23" s="69"/>
      <c r="H23" s="70"/>
      <c r="I23" s="69"/>
      <c r="J23" s="70"/>
      <c r="K23" s="69"/>
      <c r="L23" s="70"/>
    </row>
    <row r="24" spans="1:12" x14ac:dyDescent="0.15">
      <c r="A24" s="96"/>
      <c r="B24" s="71"/>
      <c r="C24" s="72"/>
      <c r="D24" s="97"/>
      <c r="E24" s="69">
        <v>1556</v>
      </c>
      <c r="F24" s="70" t="s">
        <v>100</v>
      </c>
      <c r="G24" s="69"/>
      <c r="H24" s="70"/>
      <c r="I24" s="69"/>
      <c r="J24" s="70"/>
      <c r="K24" s="69"/>
      <c r="L24" s="70"/>
    </row>
    <row r="25" spans="1:12" x14ac:dyDescent="0.15">
      <c r="A25" s="58"/>
      <c r="B25" s="59">
        <v>105523</v>
      </c>
      <c r="C25" s="60" t="s">
        <v>106</v>
      </c>
      <c r="D25" s="90">
        <f t="shared" si="0"/>
        <v>2500</v>
      </c>
      <c r="E25" s="67">
        <f>E26</f>
        <v>2500</v>
      </c>
      <c r="F25" s="68" t="s">
        <v>98</v>
      </c>
      <c r="G25" s="67"/>
      <c r="H25" s="68"/>
      <c r="I25" s="67"/>
      <c r="J25" s="68"/>
      <c r="K25" s="67"/>
      <c r="L25" s="68"/>
    </row>
    <row r="26" spans="1:12" x14ac:dyDescent="0.15">
      <c r="A26" s="96"/>
      <c r="B26" s="71"/>
      <c r="C26" s="72"/>
      <c r="D26" s="97"/>
      <c r="E26" s="100">
        <v>2500</v>
      </c>
      <c r="F26" s="101" t="s">
        <v>93</v>
      </c>
      <c r="G26" s="69"/>
      <c r="H26" s="70"/>
      <c r="I26" s="69"/>
      <c r="J26" s="70"/>
      <c r="K26" s="69"/>
      <c r="L26" s="70"/>
    </row>
    <row r="27" spans="1:12" x14ac:dyDescent="0.15">
      <c r="A27" s="58"/>
      <c r="B27" s="59">
        <v>105535</v>
      </c>
      <c r="C27" s="60" t="s">
        <v>107</v>
      </c>
      <c r="D27" s="90">
        <f t="shared" si="0"/>
        <v>1000</v>
      </c>
      <c r="E27" s="67">
        <f>E28</f>
        <v>1000</v>
      </c>
      <c r="F27" s="68" t="s">
        <v>108</v>
      </c>
      <c r="G27" s="67"/>
      <c r="H27" s="68"/>
      <c r="I27" s="67"/>
      <c r="J27" s="68"/>
      <c r="K27" s="67"/>
      <c r="L27" s="68"/>
    </row>
    <row r="28" spans="1:12" x14ac:dyDescent="0.15">
      <c r="A28" s="96"/>
      <c r="B28" s="71"/>
      <c r="C28" s="72"/>
      <c r="D28" s="97"/>
      <c r="E28" s="100">
        <v>1000</v>
      </c>
      <c r="F28" s="101" t="s">
        <v>93</v>
      </c>
      <c r="G28" s="69"/>
      <c r="H28" s="70"/>
      <c r="I28" s="69"/>
      <c r="J28" s="70"/>
      <c r="K28" s="69"/>
      <c r="L28" s="70"/>
    </row>
    <row r="29" spans="1:12" x14ac:dyDescent="0.15">
      <c r="A29" s="58"/>
      <c r="B29" s="59">
        <v>105540</v>
      </c>
      <c r="C29" s="60" t="s">
        <v>109</v>
      </c>
      <c r="D29" s="90">
        <f t="shared" si="0"/>
        <v>40925</v>
      </c>
      <c r="E29" s="67">
        <f>E31+E30</f>
        <v>9410</v>
      </c>
      <c r="F29" s="68" t="s">
        <v>110</v>
      </c>
      <c r="G29" s="74">
        <f>G31+G30</f>
        <v>5515</v>
      </c>
      <c r="H29" s="75" t="s">
        <v>111</v>
      </c>
      <c r="I29" s="67">
        <f>I30</f>
        <v>16900</v>
      </c>
      <c r="J29" s="68" t="s">
        <v>108</v>
      </c>
      <c r="K29" s="74">
        <f>K30</f>
        <v>9100</v>
      </c>
      <c r="L29" s="75" t="s">
        <v>112</v>
      </c>
    </row>
    <row r="30" spans="1:12" x14ac:dyDescent="0.15">
      <c r="A30" s="58"/>
      <c r="B30" s="59"/>
      <c r="C30" s="60"/>
      <c r="D30" s="90"/>
      <c r="E30" s="100">
        <v>6200</v>
      </c>
      <c r="F30" s="101" t="s">
        <v>93</v>
      </c>
      <c r="G30" s="100">
        <v>3800</v>
      </c>
      <c r="H30" s="101" t="s">
        <v>93</v>
      </c>
      <c r="I30" s="69">
        <v>16900</v>
      </c>
      <c r="J30" s="70" t="s">
        <v>91</v>
      </c>
      <c r="K30" s="69">
        <v>9100</v>
      </c>
      <c r="L30" s="70" t="s">
        <v>91</v>
      </c>
    </row>
    <row r="31" spans="1:12" x14ac:dyDescent="0.15">
      <c r="A31" s="96"/>
      <c r="B31" s="71"/>
      <c r="C31" s="72"/>
      <c r="D31" s="97"/>
      <c r="E31" s="98">
        <v>3210</v>
      </c>
      <c r="F31" s="99" t="s">
        <v>100</v>
      </c>
      <c r="G31" s="98">
        <v>1715</v>
      </c>
      <c r="H31" s="99" t="s">
        <v>100</v>
      </c>
      <c r="I31" s="69"/>
      <c r="J31" s="70"/>
      <c r="K31" s="69"/>
      <c r="L31" s="70"/>
    </row>
    <row r="32" spans="1:12" x14ac:dyDescent="0.15">
      <c r="A32" s="58"/>
      <c r="B32" s="59">
        <v>105538</v>
      </c>
      <c r="C32" s="60" t="s">
        <v>113</v>
      </c>
      <c r="D32" s="90">
        <f t="shared" si="0"/>
        <v>3200</v>
      </c>
      <c r="E32" s="67">
        <f>E33</f>
        <v>1920</v>
      </c>
      <c r="F32" s="68" t="s">
        <v>108</v>
      </c>
      <c r="G32" s="74">
        <f>G33</f>
        <v>1280</v>
      </c>
      <c r="H32" s="75" t="s">
        <v>112</v>
      </c>
      <c r="I32" s="67"/>
      <c r="J32" s="68"/>
      <c r="K32" s="74"/>
      <c r="L32" s="75"/>
    </row>
    <row r="33" spans="1:12" x14ac:dyDescent="0.15">
      <c r="A33" s="96"/>
      <c r="B33" s="71"/>
      <c r="C33" s="72"/>
      <c r="D33" s="97"/>
      <c r="E33" s="100">
        <v>1920</v>
      </c>
      <c r="F33" s="101" t="s">
        <v>93</v>
      </c>
      <c r="G33" s="100">
        <v>1280</v>
      </c>
      <c r="H33" s="101" t="s">
        <v>93</v>
      </c>
      <c r="I33" s="69"/>
      <c r="J33" s="70"/>
      <c r="K33" s="69"/>
      <c r="L33" s="70"/>
    </row>
    <row r="34" spans="1:12" x14ac:dyDescent="0.15">
      <c r="A34" s="58"/>
      <c r="B34" s="59">
        <v>105539</v>
      </c>
      <c r="C34" s="60" t="s">
        <v>115</v>
      </c>
      <c r="D34" s="90">
        <f t="shared" si="0"/>
        <v>24000</v>
      </c>
      <c r="E34" s="67">
        <f>E35</f>
        <v>4875</v>
      </c>
      <c r="F34" s="68" t="s">
        <v>110</v>
      </c>
      <c r="G34" s="74">
        <f>G35</f>
        <v>3125</v>
      </c>
      <c r="H34" s="75" t="s">
        <v>114</v>
      </c>
      <c r="I34" s="67">
        <f>I35+I36</f>
        <v>10400</v>
      </c>
      <c r="J34" s="68" t="s">
        <v>108</v>
      </c>
      <c r="K34" s="74">
        <f>K35+K36</f>
        <v>5600</v>
      </c>
      <c r="L34" s="75" t="s">
        <v>112</v>
      </c>
    </row>
    <row r="35" spans="1:12" x14ac:dyDescent="0.15">
      <c r="A35" s="96"/>
      <c r="B35" s="76"/>
      <c r="C35" s="72"/>
      <c r="D35" s="97"/>
      <c r="E35" s="100">
        <v>4875</v>
      </c>
      <c r="F35" s="101" t="s">
        <v>93</v>
      </c>
      <c r="G35" s="100">
        <v>3125</v>
      </c>
      <c r="H35" s="101" t="s">
        <v>93</v>
      </c>
      <c r="I35" s="100">
        <v>5200</v>
      </c>
      <c r="J35" s="101" t="s">
        <v>93</v>
      </c>
      <c r="K35" s="100">
        <v>2800</v>
      </c>
      <c r="L35" s="101" t="s">
        <v>93</v>
      </c>
    </row>
    <row r="36" spans="1:12" x14ac:dyDescent="0.15">
      <c r="A36" s="96"/>
      <c r="B36" s="76"/>
      <c r="C36" s="72"/>
      <c r="D36" s="97"/>
      <c r="E36" s="69"/>
      <c r="F36" s="70"/>
      <c r="G36" s="69"/>
      <c r="H36" s="70"/>
      <c r="I36" s="69">
        <v>5200</v>
      </c>
      <c r="J36" s="73" t="s">
        <v>91</v>
      </c>
      <c r="K36" s="69">
        <v>2800</v>
      </c>
      <c r="L36" s="73" t="s">
        <v>91</v>
      </c>
    </row>
    <row r="37" spans="1:12" x14ac:dyDescent="0.15">
      <c r="A37" s="58"/>
      <c r="B37" s="88">
        <v>105533</v>
      </c>
      <c r="C37" s="60" t="s">
        <v>116</v>
      </c>
      <c r="D37" s="90">
        <f t="shared" si="0"/>
        <v>12000</v>
      </c>
      <c r="E37" s="67">
        <f>E38</f>
        <v>12000</v>
      </c>
      <c r="F37" s="68" t="s">
        <v>90</v>
      </c>
      <c r="G37" s="67"/>
      <c r="H37" s="68"/>
      <c r="I37" s="67"/>
      <c r="J37" s="68"/>
      <c r="K37" s="67"/>
      <c r="L37" s="68"/>
    </row>
    <row r="38" spans="1:12" x14ac:dyDescent="0.15">
      <c r="A38" s="96"/>
      <c r="B38" s="76"/>
      <c r="C38" s="72"/>
      <c r="D38" s="97"/>
      <c r="E38" s="69">
        <v>12000</v>
      </c>
      <c r="F38" s="73">
        <v>46266</v>
      </c>
      <c r="G38" s="69"/>
      <c r="H38" s="73"/>
      <c r="I38" s="69"/>
      <c r="J38" s="70"/>
      <c r="K38" s="69"/>
      <c r="L38" s="70"/>
    </row>
    <row r="39" spans="1:12" x14ac:dyDescent="0.15">
      <c r="A39" s="58"/>
      <c r="B39" s="87">
        <v>105527</v>
      </c>
      <c r="C39" s="77" t="s">
        <v>117</v>
      </c>
      <c r="D39" s="90">
        <f t="shared" si="0"/>
        <v>12000</v>
      </c>
      <c r="E39" s="67">
        <f>E40</f>
        <v>12000</v>
      </c>
      <c r="F39" s="68" t="s">
        <v>90</v>
      </c>
      <c r="G39" s="78"/>
      <c r="H39" s="79"/>
      <c r="I39" s="78"/>
      <c r="J39" s="79"/>
      <c r="K39" s="78"/>
      <c r="L39" s="79"/>
    </row>
    <row r="40" spans="1:12" x14ac:dyDescent="0.15">
      <c r="A40" s="58"/>
      <c r="B40" s="87"/>
      <c r="C40" s="77"/>
      <c r="D40" s="90"/>
      <c r="E40" s="69">
        <v>12000</v>
      </c>
      <c r="F40" s="73" t="s">
        <v>91</v>
      </c>
      <c r="G40" s="78"/>
      <c r="H40" s="79"/>
      <c r="I40" s="78"/>
      <c r="J40" s="79"/>
      <c r="K40" s="78"/>
      <c r="L40" s="79"/>
    </row>
    <row r="41" spans="1:12" ht="13" x14ac:dyDescent="0.15">
      <c r="A41" s="58"/>
      <c r="B41" s="59">
        <v>106742</v>
      </c>
      <c r="C41" s="60" t="s">
        <v>118</v>
      </c>
      <c r="D41" s="90">
        <f t="shared" ref="D41:D48" si="1">E41+G41+I41+K41</f>
        <v>30000</v>
      </c>
      <c r="E41" s="61">
        <f>E42+E43</f>
        <v>30000</v>
      </c>
      <c r="F41" s="62" t="s">
        <v>119</v>
      </c>
      <c r="G41" s="61"/>
      <c r="H41" s="62"/>
      <c r="I41" s="61"/>
      <c r="J41" s="62"/>
      <c r="K41" s="61"/>
      <c r="L41" s="62"/>
    </row>
    <row r="42" spans="1:12" ht="13" x14ac:dyDescent="0.15">
      <c r="A42" s="96"/>
      <c r="B42" s="71"/>
      <c r="C42" s="72"/>
      <c r="D42" s="97"/>
      <c r="E42" s="93">
        <v>20000</v>
      </c>
      <c r="F42" s="95" t="s">
        <v>93</v>
      </c>
      <c r="G42" s="63"/>
      <c r="H42" s="65"/>
      <c r="I42" s="63"/>
      <c r="J42" s="65"/>
      <c r="K42" s="63"/>
      <c r="L42" s="65"/>
    </row>
    <row r="43" spans="1:12" ht="13" x14ac:dyDescent="0.15">
      <c r="A43" s="96"/>
      <c r="B43" s="71"/>
      <c r="C43" s="72"/>
      <c r="D43" s="97"/>
      <c r="E43" s="93">
        <v>10000</v>
      </c>
      <c r="F43" s="95" t="s">
        <v>100</v>
      </c>
      <c r="G43" s="63"/>
      <c r="H43" s="65"/>
      <c r="I43" s="63"/>
      <c r="J43" s="65"/>
      <c r="K43" s="63"/>
      <c r="L43" s="65"/>
    </row>
    <row r="44" spans="1:12" ht="13" x14ac:dyDescent="0.15">
      <c r="A44" s="58"/>
      <c r="B44" s="59">
        <v>106743</v>
      </c>
      <c r="C44" s="60" t="s">
        <v>120</v>
      </c>
      <c r="D44" s="90">
        <f t="shared" si="1"/>
        <v>16718</v>
      </c>
      <c r="E44" s="61">
        <f>E45+E47</f>
        <v>6000</v>
      </c>
      <c r="F44" s="62" t="s">
        <v>121</v>
      </c>
      <c r="G44" s="61">
        <f>G45+G47</f>
        <v>10718</v>
      </c>
      <c r="H44" s="62" t="s">
        <v>122</v>
      </c>
      <c r="I44" s="61"/>
      <c r="J44" s="62"/>
      <c r="K44" s="61"/>
      <c r="L44" s="62"/>
    </row>
    <row r="45" spans="1:12" ht="13" x14ac:dyDescent="0.15">
      <c r="A45" s="96"/>
      <c r="B45" s="71"/>
      <c r="C45" s="72"/>
      <c r="D45" s="97"/>
      <c r="E45" s="93">
        <v>6000</v>
      </c>
      <c r="F45" s="95" t="s">
        <v>93</v>
      </c>
      <c r="G45" s="93">
        <v>6000</v>
      </c>
      <c r="H45" s="95" t="s">
        <v>93</v>
      </c>
      <c r="I45" s="63"/>
      <c r="J45" s="66"/>
      <c r="K45" s="63"/>
      <c r="L45" s="65"/>
    </row>
    <row r="46" spans="1:12" ht="13" x14ac:dyDescent="0.15">
      <c r="A46" s="96"/>
      <c r="B46" s="71"/>
      <c r="C46" s="72"/>
      <c r="D46" s="97"/>
      <c r="E46" s="63"/>
      <c r="F46" s="65"/>
      <c r="G46" s="63">
        <v>13282</v>
      </c>
      <c r="H46" s="66" t="s">
        <v>102</v>
      </c>
      <c r="I46" s="63"/>
      <c r="J46" s="66"/>
      <c r="K46" s="63"/>
      <c r="L46" s="65"/>
    </row>
    <row r="47" spans="1:12" x14ac:dyDescent="0.15">
      <c r="A47" s="96"/>
      <c r="B47" s="71"/>
      <c r="C47" s="72"/>
      <c r="D47" s="97"/>
      <c r="E47" s="63"/>
      <c r="F47" s="65"/>
      <c r="G47" s="63">
        <v>4718</v>
      </c>
      <c r="H47" s="66">
        <v>46327</v>
      </c>
      <c r="I47" s="63"/>
      <c r="J47" s="66"/>
      <c r="K47" s="63"/>
      <c r="L47" s="65"/>
    </row>
    <row r="48" spans="1:12" x14ac:dyDescent="0.15">
      <c r="A48" s="58"/>
      <c r="B48" s="59">
        <v>106744</v>
      </c>
      <c r="C48" s="60" t="s">
        <v>123</v>
      </c>
      <c r="D48" s="90">
        <f t="shared" si="1"/>
        <v>40000</v>
      </c>
      <c r="E48" s="67">
        <f>E49</f>
        <v>30000</v>
      </c>
      <c r="F48" s="68" t="s">
        <v>124</v>
      </c>
      <c r="G48" s="67">
        <f>G49</f>
        <v>10000</v>
      </c>
      <c r="H48" s="68" t="s">
        <v>122</v>
      </c>
      <c r="I48" s="67"/>
      <c r="J48" s="68"/>
      <c r="K48" s="67"/>
      <c r="L48" s="68"/>
    </row>
    <row r="49" spans="1:12" ht="13" x14ac:dyDescent="0.15">
      <c r="A49" s="96"/>
      <c r="B49" s="71"/>
      <c r="C49" s="72"/>
      <c r="D49" s="97"/>
      <c r="E49" s="93">
        <v>30000</v>
      </c>
      <c r="F49" s="95" t="s">
        <v>93</v>
      </c>
      <c r="G49" s="63">
        <v>10000</v>
      </c>
      <c r="H49" s="65" t="s">
        <v>102</v>
      </c>
      <c r="I49" s="63"/>
      <c r="J49" s="65"/>
      <c r="K49" s="63"/>
      <c r="L49" s="65"/>
    </row>
    <row r="50" spans="1:12" x14ac:dyDescent="0.15">
      <c r="A50" s="102">
        <v>400507696</v>
      </c>
      <c r="B50" s="103" t="s">
        <v>3</v>
      </c>
      <c r="C50" s="104" t="s">
        <v>125</v>
      </c>
      <c r="D50" s="90">
        <f>E50+G50+I50+K50</f>
        <v>56000</v>
      </c>
      <c r="E50" s="61">
        <f>E51+E52+E53</f>
        <v>56000</v>
      </c>
      <c r="F50" s="68" t="s">
        <v>126</v>
      </c>
      <c r="G50" s="61"/>
      <c r="H50" s="68"/>
      <c r="I50" s="61"/>
      <c r="J50" s="62"/>
      <c r="K50" s="61"/>
      <c r="L50" s="62"/>
    </row>
    <row r="51" spans="1:12" ht="13" x14ac:dyDescent="0.15">
      <c r="A51" s="96"/>
      <c r="B51" s="105"/>
      <c r="C51" s="81"/>
      <c r="D51" s="97"/>
      <c r="E51" s="93">
        <v>28000</v>
      </c>
      <c r="F51" s="95" t="s">
        <v>100</v>
      </c>
      <c r="G51" s="82"/>
      <c r="H51" s="83"/>
      <c r="I51" s="63"/>
      <c r="J51" s="65"/>
      <c r="K51" s="63"/>
      <c r="L51" s="65"/>
    </row>
    <row r="52" spans="1:12" x14ac:dyDescent="0.15">
      <c r="A52" s="96"/>
      <c r="B52" s="105"/>
      <c r="C52" s="81"/>
      <c r="D52" s="97"/>
      <c r="E52" s="63">
        <v>14000</v>
      </c>
      <c r="F52" s="66">
        <v>46266</v>
      </c>
      <c r="G52" s="82"/>
      <c r="H52" s="84"/>
      <c r="I52" s="63"/>
      <c r="J52" s="65"/>
      <c r="K52" s="63"/>
      <c r="L52" s="65"/>
    </row>
    <row r="53" spans="1:12" x14ac:dyDescent="0.15">
      <c r="A53" s="96"/>
      <c r="B53" s="105"/>
      <c r="C53" s="81"/>
      <c r="D53" s="97"/>
      <c r="E53" s="63">
        <v>14000</v>
      </c>
      <c r="F53" s="66">
        <v>46327</v>
      </c>
      <c r="G53" s="82"/>
      <c r="H53" s="84"/>
      <c r="I53" s="63"/>
      <c r="J53" s="65"/>
      <c r="K53" s="63"/>
      <c r="L53" s="65"/>
    </row>
    <row r="54" spans="1:12" ht="13" x14ac:dyDescent="0.15">
      <c r="A54" s="58">
        <v>400005933</v>
      </c>
      <c r="B54" s="106" t="s">
        <v>5</v>
      </c>
      <c r="C54" s="80" t="s">
        <v>127</v>
      </c>
      <c r="D54" s="90">
        <f t="shared" ref="D54" si="2">E54+G54+I54+K54</f>
        <v>3600</v>
      </c>
      <c r="E54" s="61">
        <f>E55</f>
        <v>3600</v>
      </c>
      <c r="F54" s="62" t="s">
        <v>126</v>
      </c>
      <c r="G54" s="61"/>
      <c r="H54" s="62"/>
      <c r="I54" s="61"/>
      <c r="J54" s="62"/>
      <c r="K54" s="61"/>
      <c r="L54" s="62"/>
    </row>
    <row r="55" spans="1:12" ht="13" x14ac:dyDescent="0.15">
      <c r="A55" s="96"/>
      <c r="B55" s="105"/>
      <c r="C55" s="81"/>
      <c r="D55" s="97"/>
      <c r="E55" s="93">
        <v>3600</v>
      </c>
      <c r="F55" s="95" t="s">
        <v>100</v>
      </c>
      <c r="G55" s="93"/>
      <c r="H55" s="95"/>
      <c r="I55" s="63"/>
      <c r="J55" s="65"/>
      <c r="K55" s="63"/>
      <c r="L55" s="65"/>
    </row>
    <row r="56" spans="1:12" x14ac:dyDescent="0.15">
      <c r="A56" s="96"/>
      <c r="B56" s="106" t="s">
        <v>11</v>
      </c>
      <c r="C56" s="80" t="s">
        <v>146</v>
      </c>
      <c r="D56" s="90">
        <f>E56+G56+I56+K56</f>
        <v>7200</v>
      </c>
      <c r="E56" s="67">
        <f>E57</f>
        <v>7200</v>
      </c>
      <c r="F56" s="68" t="s">
        <v>147</v>
      </c>
      <c r="G56" s="69"/>
      <c r="H56" s="70"/>
      <c r="I56" s="69"/>
      <c r="J56" s="70"/>
      <c r="K56" s="69"/>
      <c r="L56" s="70"/>
    </row>
    <row r="57" spans="1:12" x14ac:dyDescent="0.15">
      <c r="A57" s="96"/>
      <c r="B57" s="105"/>
      <c r="C57" s="81"/>
      <c r="D57" s="97"/>
      <c r="E57" s="100">
        <v>7200</v>
      </c>
      <c r="F57" s="101" t="s">
        <v>93</v>
      </c>
      <c r="G57" s="69"/>
      <c r="H57" s="70"/>
      <c r="I57" s="69"/>
      <c r="J57" s="70"/>
      <c r="K57" s="69"/>
      <c r="L57" s="70"/>
    </row>
    <row r="58" spans="1:12" x14ac:dyDescent="0.15">
      <c r="A58" s="96"/>
      <c r="B58" s="106" t="s">
        <v>19</v>
      </c>
      <c r="C58" s="80" t="s">
        <v>148</v>
      </c>
      <c r="D58" s="90">
        <f>E58+G58+I58+K58</f>
        <v>60</v>
      </c>
      <c r="E58" s="67">
        <f>E59</f>
        <v>60</v>
      </c>
      <c r="F58" s="68" t="s">
        <v>147</v>
      </c>
      <c r="G58" s="69"/>
      <c r="H58" s="70"/>
      <c r="I58" s="69"/>
      <c r="J58" s="70"/>
      <c r="K58" s="69"/>
      <c r="L58" s="70"/>
    </row>
    <row r="59" spans="1:12" x14ac:dyDescent="0.15">
      <c r="A59" s="96"/>
      <c r="B59" s="105"/>
      <c r="C59" s="81"/>
      <c r="D59" s="97"/>
      <c r="E59" s="100">
        <v>60</v>
      </c>
      <c r="F59" s="101" t="s">
        <v>102</v>
      </c>
      <c r="G59" s="69"/>
      <c r="H59" s="70"/>
      <c r="I59" s="69"/>
      <c r="J59" s="70"/>
      <c r="K59" s="69"/>
      <c r="L59" s="70"/>
    </row>
    <row r="60" spans="1:12" x14ac:dyDescent="0.15">
      <c r="A60" s="58">
        <v>400005851</v>
      </c>
      <c r="B60" s="106" t="s">
        <v>21</v>
      </c>
      <c r="C60" s="80" t="s">
        <v>128</v>
      </c>
      <c r="D60" s="90">
        <f t="shared" ref="D60" si="3">E60+G60+I60+K60</f>
        <v>6500</v>
      </c>
      <c r="E60" s="67">
        <f>E61</f>
        <v>6500</v>
      </c>
      <c r="F60" s="68" t="s">
        <v>129</v>
      </c>
      <c r="G60" s="67"/>
      <c r="H60" s="68"/>
      <c r="I60" s="67"/>
      <c r="J60" s="68"/>
      <c r="K60" s="67"/>
      <c r="L60" s="68"/>
    </row>
    <row r="61" spans="1:12" x14ac:dyDescent="0.15">
      <c r="A61" s="96"/>
      <c r="B61" s="105"/>
      <c r="C61" s="81"/>
      <c r="D61" s="97"/>
      <c r="E61" s="100">
        <v>6500</v>
      </c>
      <c r="F61" s="101" t="s">
        <v>100</v>
      </c>
      <c r="G61" s="69"/>
      <c r="H61" s="70"/>
      <c r="I61" s="69"/>
      <c r="J61" s="70"/>
      <c r="K61" s="69"/>
      <c r="L61" s="70"/>
    </row>
    <row r="62" spans="1:12" x14ac:dyDescent="0.15">
      <c r="A62" s="58"/>
      <c r="B62" s="106" t="s">
        <v>25</v>
      </c>
      <c r="C62" s="80" t="s">
        <v>149</v>
      </c>
      <c r="D62" s="90">
        <f t="shared" ref="D62" si="4">E62+G62+I62+K62</f>
        <v>2280</v>
      </c>
      <c r="E62" s="67">
        <f>E63</f>
        <v>1140</v>
      </c>
      <c r="F62" s="68" t="s">
        <v>150</v>
      </c>
      <c r="G62" s="67">
        <f>G63</f>
        <v>1140</v>
      </c>
      <c r="H62" s="68" t="s">
        <v>151</v>
      </c>
      <c r="I62" s="69"/>
      <c r="J62" s="70"/>
      <c r="K62" s="69"/>
      <c r="L62" s="70"/>
    </row>
    <row r="63" spans="1:12" x14ac:dyDescent="0.15">
      <c r="A63" s="96"/>
      <c r="B63" s="105"/>
      <c r="C63" s="81"/>
      <c r="D63" s="97"/>
      <c r="E63" s="100">
        <v>1140</v>
      </c>
      <c r="F63" s="101" t="s">
        <v>152</v>
      </c>
      <c r="G63" s="100">
        <v>1140</v>
      </c>
      <c r="H63" s="101" t="s">
        <v>152</v>
      </c>
      <c r="I63" s="69"/>
      <c r="J63" s="70"/>
      <c r="K63" s="69"/>
      <c r="L63" s="70"/>
    </row>
    <row r="64" spans="1:12" x14ac:dyDescent="0.15">
      <c r="A64" s="58">
        <v>400545344</v>
      </c>
      <c r="B64" s="106" t="s">
        <v>35</v>
      </c>
      <c r="C64" s="80" t="s">
        <v>130</v>
      </c>
      <c r="D64" s="90">
        <f t="shared" ref="D64" si="5">E64+G64+I64+K64</f>
        <v>10000</v>
      </c>
      <c r="E64" s="67">
        <f>E65</f>
        <v>10000</v>
      </c>
      <c r="F64" s="68" t="s">
        <v>131</v>
      </c>
      <c r="G64" s="67"/>
      <c r="H64" s="68"/>
      <c r="I64" s="67"/>
      <c r="J64" s="68"/>
      <c r="K64" s="67"/>
      <c r="L64" s="68"/>
    </row>
    <row r="65" spans="1:12" x14ac:dyDescent="0.15">
      <c r="A65" s="96"/>
      <c r="B65" s="105"/>
      <c r="C65" s="81"/>
      <c r="D65" s="97"/>
      <c r="E65" s="98">
        <v>10000</v>
      </c>
      <c r="F65" s="99" t="s">
        <v>100</v>
      </c>
      <c r="G65" s="69"/>
      <c r="H65" s="70"/>
      <c r="I65" s="69"/>
      <c r="J65" s="70"/>
      <c r="K65" s="69"/>
      <c r="L65" s="70"/>
    </row>
    <row r="66" spans="1:12" x14ac:dyDescent="0.15">
      <c r="A66" s="58">
        <v>400545875</v>
      </c>
      <c r="B66" s="106" t="s">
        <v>37</v>
      </c>
      <c r="C66" s="80" t="s">
        <v>132</v>
      </c>
      <c r="D66" s="90">
        <f t="shared" ref="D66" si="6">E66+G66+I66+K66</f>
        <v>9000</v>
      </c>
      <c r="E66" s="67">
        <f>E67+E68</f>
        <v>9000</v>
      </c>
      <c r="F66" s="68" t="s">
        <v>133</v>
      </c>
      <c r="G66" s="67"/>
      <c r="H66" s="68"/>
      <c r="I66" s="67"/>
      <c r="J66" s="68"/>
      <c r="K66" s="67"/>
      <c r="L66" s="68"/>
    </row>
    <row r="67" spans="1:12" x14ac:dyDescent="0.15">
      <c r="A67" s="96"/>
      <c r="B67" s="105"/>
      <c r="C67" s="81"/>
      <c r="D67" s="97"/>
      <c r="E67" s="69">
        <v>5000</v>
      </c>
      <c r="F67" s="70" t="s">
        <v>91</v>
      </c>
      <c r="G67" s="69"/>
      <c r="H67" s="70"/>
      <c r="I67" s="69"/>
      <c r="J67" s="70"/>
      <c r="K67" s="69"/>
      <c r="L67" s="70"/>
    </row>
    <row r="68" spans="1:12" x14ac:dyDescent="0.15">
      <c r="A68" s="96"/>
      <c r="B68" s="105"/>
      <c r="C68" s="81"/>
      <c r="D68" s="97"/>
      <c r="E68" s="69">
        <v>4000</v>
      </c>
      <c r="F68" s="73">
        <v>46266</v>
      </c>
      <c r="G68" s="69"/>
      <c r="H68" s="70"/>
      <c r="I68" s="69"/>
      <c r="J68" s="70"/>
      <c r="K68" s="69"/>
      <c r="L68" s="70"/>
    </row>
    <row r="69" spans="1:12" x14ac:dyDescent="0.15">
      <c r="A69" s="58">
        <v>400545872</v>
      </c>
      <c r="B69" s="106" t="s">
        <v>39</v>
      </c>
      <c r="C69" s="80" t="s">
        <v>134</v>
      </c>
      <c r="D69" s="90">
        <f t="shared" ref="D69" si="7">E69+G69+I69+K69</f>
        <v>9000</v>
      </c>
      <c r="E69" s="67">
        <f>E70</f>
        <v>4000</v>
      </c>
      <c r="F69" s="68" t="s">
        <v>135</v>
      </c>
      <c r="G69" s="67">
        <f>G70</f>
        <v>5000</v>
      </c>
      <c r="H69" s="68" t="s">
        <v>133</v>
      </c>
      <c r="I69" s="67"/>
      <c r="J69" s="68"/>
      <c r="K69" s="67"/>
      <c r="L69" s="68"/>
    </row>
    <row r="70" spans="1:12" x14ac:dyDescent="0.15">
      <c r="A70" s="96"/>
      <c r="B70" s="105"/>
      <c r="C70" s="81"/>
      <c r="D70" s="97"/>
      <c r="E70" s="98">
        <v>4000</v>
      </c>
      <c r="F70" s="99" t="s">
        <v>93</v>
      </c>
      <c r="G70" s="98">
        <v>5000</v>
      </c>
      <c r="H70" s="99" t="s">
        <v>93</v>
      </c>
      <c r="I70" s="69"/>
      <c r="J70" s="70"/>
      <c r="K70" s="69"/>
      <c r="L70" s="70"/>
    </row>
    <row r="71" spans="1:12" x14ac:dyDescent="0.15">
      <c r="A71" s="58">
        <v>400545871</v>
      </c>
      <c r="B71" s="106" t="s">
        <v>41</v>
      </c>
      <c r="C71" s="80" t="s">
        <v>136</v>
      </c>
      <c r="D71" s="90">
        <f t="shared" ref="D71" si="8">E71+G71+I71+K71</f>
        <v>0</v>
      </c>
      <c r="E71" s="67"/>
      <c r="F71" s="68"/>
      <c r="G71" s="67"/>
      <c r="H71" s="68"/>
      <c r="I71" s="67"/>
      <c r="J71" s="68"/>
      <c r="K71" s="67"/>
      <c r="L71" s="68"/>
    </row>
    <row r="72" spans="1:12" x14ac:dyDescent="0.15">
      <c r="A72" s="58"/>
      <c r="B72" s="71"/>
      <c r="C72" s="72"/>
      <c r="D72" s="97"/>
      <c r="E72" s="93"/>
      <c r="F72" s="95"/>
      <c r="G72" s="63"/>
      <c r="H72" s="65"/>
      <c r="I72" s="63"/>
      <c r="J72" s="65"/>
      <c r="K72" s="63"/>
      <c r="L72" s="65"/>
    </row>
    <row r="73" spans="1:12" x14ac:dyDescent="0.15">
      <c r="A73" s="36"/>
      <c r="B73" s="36"/>
      <c r="D73" s="85"/>
      <c r="E73" s="85"/>
      <c r="F73" s="86"/>
      <c r="G73" s="85"/>
      <c r="H73" s="86"/>
      <c r="I73" s="85"/>
      <c r="J73" s="86"/>
      <c r="K73" s="85"/>
      <c r="L73" s="86"/>
    </row>
    <row r="74" spans="1:12" x14ac:dyDescent="0.15">
      <c r="A74" s="36"/>
      <c r="B74" s="36"/>
      <c r="C74" s="107" t="s">
        <v>153</v>
      </c>
      <c r="D74" s="85"/>
      <c r="E74" s="85"/>
      <c r="F74" s="86"/>
      <c r="G74" s="85"/>
      <c r="H74" s="86"/>
      <c r="I74" s="85"/>
      <c r="J74" s="86"/>
      <c r="K74" s="85"/>
      <c r="L74" s="86"/>
    </row>
    <row r="75" spans="1:12" x14ac:dyDescent="0.15">
      <c r="A75" s="36"/>
      <c r="B75" s="36"/>
      <c r="C75" s="108" t="s">
        <v>154</v>
      </c>
      <c r="D75" s="85"/>
      <c r="E75" s="85"/>
      <c r="F75" s="86"/>
      <c r="G75" s="85"/>
      <c r="H75" s="86"/>
      <c r="I75" s="85"/>
      <c r="J75" s="86"/>
      <c r="K75" s="85"/>
      <c r="L75" s="86"/>
    </row>
    <row r="76" spans="1:12" x14ac:dyDescent="0.15">
      <c r="A76" s="36"/>
      <c r="B76" s="36"/>
      <c r="C76" s="109" t="s">
        <v>155</v>
      </c>
      <c r="D76" s="85"/>
      <c r="E76" s="85"/>
      <c r="F76" s="86"/>
      <c r="G76" s="85"/>
      <c r="H76" s="86"/>
      <c r="I76" s="85"/>
      <c r="J76" s="86"/>
      <c r="K76" s="85"/>
      <c r="L76" s="86"/>
    </row>
    <row r="77" spans="1:12" x14ac:dyDescent="0.15">
      <c r="A77" s="36"/>
      <c r="B77" s="36"/>
      <c r="C77" s="110" t="s">
        <v>156</v>
      </c>
      <c r="D77" s="85"/>
      <c r="E77" s="85"/>
      <c r="F77" s="86"/>
      <c r="G77" s="85"/>
      <c r="H77" s="86"/>
      <c r="I77" s="85"/>
      <c r="J77" s="86"/>
      <c r="K77" s="85"/>
      <c r="L77" s="8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Open Order PCT to Viatris</vt:lpstr>
      <vt:lpstr>Viatris Sales Data</vt:lpstr>
      <vt:lpstr>PCT Sales Data</vt:lpstr>
      <vt:lpstr>Monthwise Inventory Tracker  </vt:lpstr>
      <vt:lpstr>PCT order to Viatris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Kumar Jadhav</dc:creator>
  <cp:lastModifiedBy>Malek Hassani</cp:lastModifiedBy>
  <dcterms:created xsi:type="dcterms:W3CDTF">2026-04-11T16:32:54Z</dcterms:created>
  <dcterms:modified xsi:type="dcterms:W3CDTF">2026-05-12T14:15:48Z</dcterms:modified>
</cp:coreProperties>
</file>