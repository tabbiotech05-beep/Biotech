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ilhem\Desktop\Compacte\LOGEXPERT\BIOCON\"/>
    </mc:Choice>
  </mc:AlternateContent>
  <xr:revisionPtr revIDLastSave="0" documentId="13_ncr:1_{A9130768-55F6-4177-8637-4A788BB67BBE}" xr6:coauthVersionLast="47" xr6:coauthVersionMax="47" xr10:uidLastSave="{00000000-0000-0000-0000-000000000000}"/>
  <bookViews>
    <workbookView xWindow="-110" yWindow="-110" windowWidth="19420" windowHeight="10420" xr2:uid="{02106002-8DC5-4A0A-8EFA-7A1E47A939C5}"/>
  </bookViews>
  <sheets>
    <sheet name="Sheet1" sheetId="1" r:id="rId1"/>
    <sheet name="Ventes" sheetId="3" r:id="rId2"/>
    <sheet name="Stock" sheetId="4" r:id="rId3"/>
  </sheets>
  <definedNames>
    <definedName name="_xlnm._FilterDatabase" localSheetId="0" hidden="1">Sheet1!$B$3:$K$3</definedName>
    <definedName name="_xlnm._FilterDatabase" localSheetId="2" hidden="1">Stock!$B$3:$J$3</definedName>
    <definedName name="_xlnm._FilterDatabase" localSheetId="1" hidden="1">Ventes!$B$3:$J$3</definedName>
    <definedName name="_xlnm.Print_Area" localSheetId="2">Stock!#REF!</definedName>
    <definedName name="_xlnm.Print_Area" localSheetId="1">Ventes!#REF!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" i="1" l="1"/>
  <c r="G69" i="1"/>
  <c r="H69" i="1"/>
  <c r="I69" i="1"/>
  <c r="J69" i="1"/>
  <c r="K69" i="1"/>
  <c r="L69" i="1"/>
  <c r="M69" i="1"/>
  <c r="N69" i="1"/>
  <c r="O69" i="1"/>
  <c r="E69" i="1"/>
  <c r="F68" i="1"/>
  <c r="G68" i="1"/>
  <c r="H68" i="1"/>
  <c r="I68" i="1"/>
  <c r="J68" i="1"/>
  <c r="K68" i="1"/>
  <c r="L68" i="1"/>
  <c r="M68" i="1"/>
  <c r="N68" i="1"/>
  <c r="O68" i="1"/>
  <c r="E68" i="1"/>
  <c r="F67" i="1"/>
  <c r="G67" i="1"/>
  <c r="H67" i="1"/>
  <c r="I67" i="1"/>
  <c r="J67" i="1"/>
  <c r="K67" i="1"/>
  <c r="L67" i="1"/>
  <c r="M67" i="1"/>
  <c r="N67" i="1"/>
  <c r="O67" i="1"/>
  <c r="E67" i="1"/>
  <c r="F66" i="1"/>
  <c r="G66" i="1"/>
  <c r="H66" i="1"/>
  <c r="I66" i="1"/>
  <c r="J66" i="1"/>
  <c r="K66" i="1"/>
  <c r="L66" i="1"/>
  <c r="M66" i="1"/>
  <c r="N66" i="1"/>
  <c r="O66" i="1"/>
  <c r="E66" i="1"/>
  <c r="F65" i="1"/>
  <c r="G65" i="1"/>
  <c r="H65" i="1"/>
  <c r="I65" i="1"/>
  <c r="J65" i="1"/>
  <c r="K65" i="1"/>
  <c r="L65" i="1"/>
  <c r="M65" i="1"/>
  <c r="N65" i="1"/>
  <c r="O65" i="1"/>
  <c r="E65" i="1"/>
  <c r="F64" i="1"/>
  <c r="G64" i="1"/>
  <c r="H64" i="1"/>
  <c r="I64" i="1"/>
  <c r="J64" i="1"/>
  <c r="K64" i="1"/>
  <c r="L64" i="1"/>
  <c r="M64" i="1"/>
  <c r="N64" i="1"/>
  <c r="O64" i="1"/>
  <c r="E64" i="1"/>
  <c r="F63" i="1"/>
  <c r="G63" i="1"/>
  <c r="H63" i="1"/>
  <c r="I63" i="1"/>
  <c r="J63" i="1"/>
  <c r="K63" i="1"/>
  <c r="L63" i="1"/>
  <c r="M63" i="1"/>
  <c r="N63" i="1"/>
  <c r="O63" i="1"/>
  <c r="E63" i="1"/>
  <c r="F62" i="1"/>
  <c r="G62" i="1"/>
  <c r="H62" i="1"/>
  <c r="I62" i="1"/>
  <c r="J62" i="1"/>
  <c r="K62" i="1"/>
  <c r="L62" i="1"/>
  <c r="M62" i="1"/>
  <c r="N62" i="1"/>
  <c r="O62" i="1"/>
  <c r="E62" i="1"/>
  <c r="F61" i="1"/>
  <c r="G61" i="1"/>
  <c r="H61" i="1"/>
  <c r="I61" i="1"/>
  <c r="J61" i="1"/>
  <c r="K61" i="1"/>
  <c r="L61" i="1"/>
  <c r="M61" i="1"/>
  <c r="N61" i="1"/>
  <c r="O61" i="1"/>
  <c r="E61" i="1"/>
  <c r="F60" i="1"/>
  <c r="G60" i="1"/>
  <c r="H60" i="1"/>
  <c r="I60" i="1"/>
  <c r="J60" i="1"/>
  <c r="K60" i="1"/>
  <c r="L60" i="1"/>
  <c r="M60" i="1"/>
  <c r="N60" i="1"/>
  <c r="O60" i="1"/>
  <c r="E60" i="1"/>
  <c r="F59" i="1"/>
  <c r="G59" i="1"/>
  <c r="H59" i="1"/>
  <c r="I59" i="1"/>
  <c r="J59" i="1"/>
  <c r="K59" i="1"/>
  <c r="L59" i="1"/>
  <c r="M59" i="1"/>
  <c r="N59" i="1"/>
  <c r="O59" i="1"/>
  <c r="E59" i="1"/>
  <c r="F58" i="1"/>
  <c r="G58" i="1"/>
  <c r="H58" i="1"/>
  <c r="I58" i="1"/>
  <c r="J58" i="1"/>
  <c r="K58" i="1"/>
  <c r="L58" i="1"/>
  <c r="M58" i="1"/>
  <c r="N58" i="1"/>
  <c r="O58" i="1"/>
  <c r="E58" i="1"/>
  <c r="F57" i="1"/>
  <c r="G57" i="1"/>
  <c r="H57" i="1"/>
  <c r="I57" i="1"/>
  <c r="J57" i="1"/>
  <c r="K57" i="1"/>
  <c r="L57" i="1"/>
  <c r="M57" i="1"/>
  <c r="N57" i="1"/>
  <c r="O57" i="1"/>
  <c r="E57" i="1"/>
  <c r="F56" i="1"/>
  <c r="G56" i="1"/>
  <c r="H56" i="1"/>
  <c r="I56" i="1"/>
  <c r="J56" i="1"/>
  <c r="K56" i="1"/>
  <c r="L56" i="1"/>
  <c r="M56" i="1"/>
  <c r="N56" i="1"/>
  <c r="O56" i="1"/>
  <c r="E56" i="1"/>
  <c r="E55" i="1"/>
  <c r="K55" i="1"/>
  <c r="J55" i="1"/>
  <c r="I55" i="1"/>
  <c r="H55" i="1"/>
  <c r="G55" i="1"/>
  <c r="F55" i="1"/>
  <c r="K54" i="1"/>
  <c r="J54" i="1"/>
  <c r="I54" i="1"/>
  <c r="H54" i="1"/>
  <c r="G54" i="1"/>
  <c r="F54" i="1"/>
  <c r="E54" i="1"/>
  <c r="E52" i="1"/>
  <c r="F52" i="1"/>
  <c r="G52" i="1"/>
  <c r="H52" i="1"/>
  <c r="I52" i="1"/>
  <c r="J52" i="1"/>
  <c r="K52" i="1"/>
  <c r="E51" i="1"/>
  <c r="F51" i="1"/>
  <c r="G51" i="1"/>
  <c r="H51" i="1"/>
  <c r="I51" i="1"/>
  <c r="J51" i="1"/>
  <c r="K51" i="1"/>
  <c r="E53" i="1"/>
  <c r="F53" i="1"/>
  <c r="G53" i="1"/>
  <c r="H53" i="1"/>
  <c r="I53" i="1"/>
  <c r="J53" i="1"/>
  <c r="K53" i="1"/>
  <c r="F50" i="1"/>
  <c r="G50" i="1"/>
  <c r="H50" i="1"/>
  <c r="I50" i="1"/>
  <c r="J50" i="1"/>
  <c r="K50" i="1"/>
  <c r="E50" i="1"/>
  <c r="E49" i="1"/>
  <c r="F49" i="1"/>
  <c r="G49" i="1"/>
  <c r="H49" i="1"/>
  <c r="I49" i="1"/>
  <c r="J49" i="1"/>
  <c r="K49" i="1"/>
  <c r="F48" i="1"/>
  <c r="G48" i="1"/>
  <c r="H48" i="1"/>
  <c r="I48" i="1"/>
  <c r="J48" i="1"/>
  <c r="K48" i="1"/>
  <c r="E48" i="1"/>
  <c r="E47" i="1"/>
  <c r="F47" i="1"/>
  <c r="G47" i="1"/>
  <c r="H47" i="1"/>
  <c r="I47" i="1"/>
  <c r="J47" i="1"/>
  <c r="K47" i="1"/>
  <c r="F46" i="1"/>
  <c r="G46" i="1"/>
  <c r="H46" i="1"/>
  <c r="I46" i="1"/>
  <c r="J46" i="1"/>
  <c r="K46" i="1"/>
  <c r="F45" i="1"/>
  <c r="G45" i="1"/>
  <c r="H45" i="1"/>
  <c r="I45" i="1"/>
  <c r="J45" i="1"/>
  <c r="K45" i="1"/>
  <c r="F44" i="1"/>
  <c r="G44" i="1"/>
  <c r="H44" i="1"/>
  <c r="I44" i="1"/>
  <c r="J44" i="1"/>
  <c r="K44" i="1"/>
  <c r="F43" i="1"/>
  <c r="G43" i="1"/>
  <c r="H43" i="1"/>
  <c r="I43" i="1"/>
  <c r="J43" i="1"/>
  <c r="K43" i="1"/>
  <c r="F42" i="1"/>
  <c r="G42" i="1"/>
  <c r="H42" i="1"/>
  <c r="I42" i="1"/>
  <c r="J42" i="1"/>
  <c r="K42" i="1"/>
  <c r="F41" i="1"/>
  <c r="G41" i="1"/>
  <c r="H41" i="1"/>
  <c r="I41" i="1"/>
  <c r="J41" i="1"/>
  <c r="K41" i="1"/>
  <c r="F40" i="1"/>
  <c r="G40" i="1"/>
  <c r="H40" i="1"/>
  <c r="I40" i="1"/>
  <c r="J40" i="1"/>
  <c r="K40" i="1"/>
  <c r="F39" i="1"/>
  <c r="G39" i="1"/>
  <c r="H39" i="1"/>
  <c r="I39" i="1"/>
  <c r="J39" i="1"/>
  <c r="K39" i="1"/>
  <c r="F38" i="1"/>
  <c r="G38" i="1"/>
  <c r="H38" i="1"/>
  <c r="I38" i="1"/>
  <c r="J38" i="1"/>
  <c r="K38" i="1"/>
  <c r="F37" i="1"/>
  <c r="G37" i="1"/>
  <c r="H37" i="1"/>
  <c r="I37" i="1"/>
  <c r="J37" i="1"/>
  <c r="K37" i="1"/>
  <c r="F36" i="1"/>
  <c r="G36" i="1"/>
  <c r="H36" i="1"/>
  <c r="I36" i="1"/>
  <c r="J36" i="1"/>
  <c r="K36" i="1"/>
  <c r="F35" i="1"/>
  <c r="G35" i="1"/>
  <c r="H35" i="1"/>
  <c r="I35" i="1"/>
  <c r="J35" i="1"/>
  <c r="K35" i="1"/>
  <c r="F34" i="1"/>
  <c r="G34" i="1"/>
  <c r="H34" i="1"/>
  <c r="I34" i="1"/>
  <c r="J34" i="1"/>
  <c r="K34" i="1"/>
  <c r="F33" i="1"/>
  <c r="G33" i="1"/>
  <c r="H33" i="1"/>
  <c r="I33" i="1"/>
  <c r="J33" i="1"/>
  <c r="K33" i="1"/>
  <c r="F32" i="1"/>
  <c r="G32" i="1"/>
  <c r="H32" i="1"/>
  <c r="I32" i="1"/>
  <c r="J32" i="1"/>
  <c r="K32" i="1"/>
  <c r="F31" i="1"/>
  <c r="G31" i="1"/>
  <c r="H31" i="1"/>
  <c r="I31" i="1"/>
  <c r="J31" i="1"/>
  <c r="K31" i="1"/>
  <c r="F30" i="1"/>
  <c r="G30" i="1"/>
  <c r="H30" i="1"/>
  <c r="I30" i="1"/>
  <c r="J30" i="1"/>
  <c r="K30" i="1"/>
  <c r="F29" i="1"/>
  <c r="G29" i="1"/>
  <c r="H29" i="1"/>
  <c r="I29" i="1"/>
  <c r="J29" i="1"/>
  <c r="K29" i="1"/>
  <c r="F28" i="1"/>
  <c r="G28" i="1"/>
  <c r="H28" i="1"/>
  <c r="I28" i="1"/>
  <c r="J28" i="1"/>
  <c r="K28" i="1"/>
  <c r="F27" i="1"/>
  <c r="G27" i="1"/>
  <c r="H27" i="1"/>
  <c r="I27" i="1"/>
  <c r="J27" i="1"/>
  <c r="K27" i="1"/>
  <c r="F26" i="1"/>
  <c r="G26" i="1"/>
  <c r="H26" i="1"/>
  <c r="I26" i="1"/>
  <c r="J26" i="1"/>
  <c r="K26" i="1"/>
  <c r="F25" i="1"/>
  <c r="G25" i="1"/>
  <c r="H25" i="1"/>
  <c r="I25" i="1"/>
  <c r="J25" i="1"/>
  <c r="K25" i="1"/>
  <c r="F24" i="1"/>
  <c r="G24" i="1"/>
  <c r="H24" i="1"/>
  <c r="I24" i="1"/>
  <c r="J24" i="1"/>
  <c r="K24" i="1"/>
  <c r="F23" i="1"/>
  <c r="G23" i="1"/>
  <c r="H23" i="1"/>
  <c r="I23" i="1"/>
  <c r="J23" i="1"/>
  <c r="K23" i="1"/>
  <c r="F22" i="1"/>
  <c r="G22" i="1"/>
  <c r="H22" i="1"/>
  <c r="I22" i="1"/>
  <c r="J22" i="1"/>
  <c r="K22" i="1"/>
  <c r="F21" i="1"/>
  <c r="G21" i="1"/>
  <c r="H21" i="1"/>
  <c r="I21" i="1"/>
  <c r="J21" i="1"/>
  <c r="K21" i="1"/>
  <c r="F20" i="1"/>
  <c r="G20" i="1"/>
  <c r="H20" i="1"/>
  <c r="I20" i="1"/>
  <c r="J20" i="1"/>
  <c r="K20" i="1"/>
  <c r="F19" i="1"/>
  <c r="G19" i="1"/>
  <c r="H19" i="1"/>
  <c r="I19" i="1"/>
  <c r="J19" i="1"/>
  <c r="K19" i="1"/>
  <c r="F18" i="1"/>
  <c r="G18" i="1"/>
  <c r="H18" i="1"/>
  <c r="I18" i="1"/>
  <c r="J18" i="1"/>
  <c r="K18" i="1"/>
  <c r="F17" i="1"/>
  <c r="G17" i="1"/>
  <c r="H17" i="1"/>
  <c r="I17" i="1"/>
  <c r="J17" i="1"/>
  <c r="K17" i="1"/>
  <c r="F16" i="1"/>
  <c r="G16" i="1"/>
  <c r="H16" i="1"/>
  <c r="I16" i="1"/>
  <c r="J16" i="1"/>
  <c r="K16" i="1"/>
  <c r="F15" i="1"/>
  <c r="G15" i="1"/>
  <c r="H15" i="1"/>
  <c r="I15" i="1"/>
  <c r="J15" i="1"/>
  <c r="K15" i="1"/>
  <c r="F14" i="1"/>
  <c r="G14" i="1"/>
  <c r="H14" i="1"/>
  <c r="I14" i="1"/>
  <c r="J14" i="1"/>
  <c r="K14" i="1"/>
  <c r="F13" i="1"/>
  <c r="G13" i="1"/>
  <c r="H13" i="1"/>
  <c r="I13" i="1"/>
  <c r="J13" i="1"/>
  <c r="K13" i="1"/>
  <c r="F12" i="1"/>
  <c r="G12" i="1"/>
  <c r="H12" i="1"/>
  <c r="I12" i="1"/>
  <c r="J12" i="1"/>
  <c r="K12" i="1"/>
  <c r="F11" i="1"/>
  <c r="G11" i="1"/>
  <c r="H11" i="1"/>
  <c r="I11" i="1"/>
  <c r="J11" i="1"/>
  <c r="K11" i="1"/>
  <c r="E45" i="1"/>
  <c r="E43" i="1"/>
  <c r="E41" i="1"/>
  <c r="E39" i="1"/>
  <c r="E37" i="1"/>
  <c r="E35" i="1"/>
  <c r="E33" i="1"/>
  <c r="E31" i="1"/>
  <c r="E29" i="1"/>
  <c r="E27" i="1"/>
  <c r="E25" i="1"/>
  <c r="E21" i="1"/>
  <c r="E23" i="1"/>
  <c r="E19" i="1"/>
  <c r="E17" i="1"/>
  <c r="E15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3" i="1"/>
  <c r="E12" i="1"/>
  <c r="E11" i="1"/>
  <c r="F10" i="1"/>
  <c r="G10" i="1"/>
  <c r="H10" i="1"/>
  <c r="I10" i="1"/>
  <c r="J10" i="1"/>
  <c r="K10" i="1"/>
  <c r="E10" i="1"/>
  <c r="F9" i="1"/>
  <c r="G9" i="1"/>
  <c r="H9" i="1"/>
  <c r="I9" i="1"/>
  <c r="J9" i="1"/>
  <c r="K9" i="1"/>
  <c r="E9" i="1"/>
  <c r="F8" i="1"/>
  <c r="G8" i="1"/>
  <c r="H8" i="1"/>
  <c r="I8" i="1"/>
  <c r="J8" i="1"/>
  <c r="K8" i="1"/>
  <c r="E8" i="1"/>
  <c r="F7" i="1"/>
  <c r="G7" i="1"/>
  <c r="H7" i="1"/>
  <c r="I7" i="1"/>
  <c r="J7" i="1"/>
  <c r="K7" i="1"/>
  <c r="E7" i="1"/>
  <c r="F6" i="1"/>
  <c r="G6" i="1"/>
  <c r="H6" i="1"/>
  <c r="I6" i="1"/>
  <c r="J6" i="1"/>
  <c r="K6" i="1"/>
  <c r="E6" i="1"/>
  <c r="F5" i="1"/>
  <c r="G5" i="1"/>
  <c r="H5" i="1"/>
  <c r="I5" i="1"/>
  <c r="J5" i="1"/>
  <c r="K5" i="1"/>
  <c r="E5" i="1"/>
  <c r="F4" i="1"/>
  <c r="G4" i="1"/>
  <c r="H4" i="1"/>
  <c r="I4" i="1"/>
  <c r="J4" i="1"/>
  <c r="K4" i="1"/>
  <c r="E4" i="1"/>
</calcChain>
</file>

<file path=xl/sharedStrings.xml><?xml version="1.0" encoding="utf-8"?>
<sst xmlns="http://schemas.openxmlformats.org/spreadsheetml/2006/main" count="258" uniqueCount="34">
  <si>
    <t>Abevmy 100</t>
  </si>
  <si>
    <t>Abevmy 400</t>
  </si>
  <si>
    <t>Hertraz 150</t>
  </si>
  <si>
    <t>Hertraz 440</t>
  </si>
  <si>
    <t>Hulio</t>
  </si>
  <si>
    <t>Semglee</t>
  </si>
  <si>
    <t>Fulphila</t>
  </si>
  <si>
    <t>Janvier</t>
  </si>
  <si>
    <t>Ventes</t>
  </si>
  <si>
    <t>Stock</t>
  </si>
  <si>
    <t>Fevrier</t>
  </si>
  <si>
    <t>Mars</t>
  </si>
  <si>
    <t>Avril</t>
  </si>
  <si>
    <t>Mai</t>
  </si>
  <si>
    <t>Juin</t>
  </si>
  <si>
    <t>Juillet</t>
  </si>
  <si>
    <t>Aout</t>
  </si>
  <si>
    <t>Sept</t>
  </si>
  <si>
    <t>Oct</t>
  </si>
  <si>
    <t>Nov</t>
  </si>
  <si>
    <t>Dec</t>
  </si>
  <si>
    <t>Année</t>
  </si>
  <si>
    <t>Mois</t>
  </si>
  <si>
    <t>Ventes/stock</t>
  </si>
  <si>
    <t>Janv</t>
  </si>
  <si>
    <t>Févr</t>
  </si>
  <si>
    <t>Avr</t>
  </si>
  <si>
    <t>Juil</t>
  </si>
  <si>
    <t>Août</t>
  </si>
  <si>
    <t>Déc</t>
  </si>
  <si>
    <t>Ogivri 150</t>
  </si>
  <si>
    <t>Ogivri 420</t>
  </si>
  <si>
    <t>Nepexto 25</t>
  </si>
  <si>
    <t>Nepexto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</si>
</sst>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F5496"/>
      <name val="Calibri"/>
      <family val="2"/>
    </font>
    <font>
      <sz val="12"/>
      <color theme="1"/>
      <name val="Tahoma"/>
      <family val="2"/>
    </font>
    <font>
      <sz val="12"/>
      <color rgb="FF2F5597"/>
      <name val="Calibri"/>
      <family val="2"/>
    </font>
    <font>
      <sz val="11"/>
      <color rgb="FF2F5597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Evolution </a:t>
            </a:r>
            <a:r>
              <a:rPr lang="fr-FR"/>
              <a:t>Ventes</a:t>
            </a:r>
            <a:r>
              <a:rPr lang="fr-FR" baseline="0"/>
              <a:t> Biosim PCT depuis Janvier-2024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Ventes!$D$3</c:f>
              <c:strCache>
                <c:ptCount val="1"/>
                <c:pt idx="0">
                  <c:v>Abevmy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Ventes!$D$4:$D$39</c:f>
              <c:numCache>
                <c:formatCode>General</c:formatCode>
                <c:ptCount val="36"/>
                <c:pt idx="0">
                  <c:v>0</c:v>
                </c:pt>
                <c:pt idx="1">
                  <c:v>1235</c:v>
                </c:pt>
                <c:pt idx="2">
                  <c:v>1051</c:v>
                </c:pt>
                <c:pt idx="3">
                  <c:v>418</c:v>
                </c:pt>
                <c:pt idx="4">
                  <c:v>1011</c:v>
                </c:pt>
                <c:pt idx="5">
                  <c:v>579</c:v>
                </c:pt>
                <c:pt idx="6">
                  <c:v>829</c:v>
                </c:pt>
                <c:pt idx="7">
                  <c:v>738</c:v>
                </c:pt>
                <c:pt idx="8">
                  <c:v>1224</c:v>
                </c:pt>
                <c:pt idx="9">
                  <c:v>636</c:v>
                </c:pt>
                <c:pt idx="10">
                  <c:v>1094</c:v>
                </c:pt>
                <c:pt idx="11">
                  <c:v>1114</c:v>
                </c:pt>
                <c:pt idx="12">
                  <c:v>1063</c:v>
                </c:pt>
                <c:pt idx="13">
                  <c:v>315</c:v>
                </c:pt>
                <c:pt idx="14">
                  <c:v>1138</c:v>
                </c:pt>
                <c:pt idx="15">
                  <c:v>898</c:v>
                </c:pt>
                <c:pt idx="16">
                  <c:v>740</c:v>
                </c:pt>
                <c:pt idx="17">
                  <c:v>768</c:v>
                </c:pt>
                <c:pt idx="18">
                  <c:v>975</c:v>
                </c:pt>
                <c:pt idx="19">
                  <c:v>1322</c:v>
                </c:pt>
                <c:pt idx="20">
                  <c:v>748</c:v>
                </c:pt>
                <c:pt idx="21">
                  <c:v>1272</c:v>
                </c:pt>
                <c:pt idx="22">
                  <c:v>996</c:v>
                </c:pt>
                <c:pt idx="23">
                  <c:v>838</c:v>
                </c:pt>
                <c:pt idx="24">
                  <c:v>1204</c:v>
                </c:pt>
                <c:pt idx="25">
                  <c:v>1042</c:v>
                </c:pt>
                <c:pt idx="26">
                  <c:v>1369</c:v>
                </c:pt>
                <c:pt idx="27">
                  <c:v>658</c:v>
                </c:pt>
                <c:pt idx="28">
                  <c:v>799</c:v>
                </c:pt>
                <c:pt idx="29">
                  <c:v>1146</c:v>
                </c:pt>
                <c:pt idx="30">
                  <c:v>924</c:v>
                </c:pt>
                <c:pt idx="31">
                  <c:v>851</c:v>
                </c:pt>
                <c:pt idx="32">
                  <c:v>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E-4370-B917-FE35DE9EE388}"/>
            </c:ext>
          </c:extLst>
        </c:ser>
        <c:ser>
          <c:idx val="1"/>
          <c:order val="1"/>
          <c:tx>
            <c:strRef>
              <c:f>Ventes!$E$3</c:f>
              <c:strCache>
                <c:ptCount val="1"/>
                <c:pt idx="0">
                  <c:v>Abevmy 400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Ventes!$E$4:$E$39</c:f>
              <c:numCache>
                <c:formatCode>General</c:formatCode>
                <c:ptCount val="36"/>
                <c:pt idx="0">
                  <c:v>712</c:v>
                </c:pt>
                <c:pt idx="1">
                  <c:v>622</c:v>
                </c:pt>
                <c:pt idx="2">
                  <c:v>572</c:v>
                </c:pt>
                <c:pt idx="3">
                  <c:v>60</c:v>
                </c:pt>
                <c:pt idx="4">
                  <c:v>1445</c:v>
                </c:pt>
                <c:pt idx="5">
                  <c:v>529</c:v>
                </c:pt>
                <c:pt idx="6">
                  <c:v>794</c:v>
                </c:pt>
                <c:pt idx="7">
                  <c:v>652</c:v>
                </c:pt>
                <c:pt idx="8">
                  <c:v>979</c:v>
                </c:pt>
                <c:pt idx="9">
                  <c:v>1048</c:v>
                </c:pt>
                <c:pt idx="10">
                  <c:v>686</c:v>
                </c:pt>
                <c:pt idx="11">
                  <c:v>943</c:v>
                </c:pt>
                <c:pt idx="12">
                  <c:v>976</c:v>
                </c:pt>
                <c:pt idx="13">
                  <c:v>337</c:v>
                </c:pt>
                <c:pt idx="14">
                  <c:v>959</c:v>
                </c:pt>
                <c:pt idx="15">
                  <c:v>717</c:v>
                </c:pt>
                <c:pt idx="16">
                  <c:v>1067</c:v>
                </c:pt>
                <c:pt idx="17">
                  <c:v>826</c:v>
                </c:pt>
                <c:pt idx="18">
                  <c:v>658</c:v>
                </c:pt>
                <c:pt idx="19">
                  <c:v>1057</c:v>
                </c:pt>
                <c:pt idx="20">
                  <c:v>931</c:v>
                </c:pt>
                <c:pt idx="21">
                  <c:v>991</c:v>
                </c:pt>
                <c:pt idx="22">
                  <c:v>1009</c:v>
                </c:pt>
                <c:pt idx="23">
                  <c:v>737</c:v>
                </c:pt>
                <c:pt idx="24">
                  <c:v>1136</c:v>
                </c:pt>
                <c:pt idx="25">
                  <c:v>744</c:v>
                </c:pt>
                <c:pt idx="26">
                  <c:v>987</c:v>
                </c:pt>
                <c:pt idx="27">
                  <c:v>856</c:v>
                </c:pt>
                <c:pt idx="28">
                  <c:v>821</c:v>
                </c:pt>
                <c:pt idx="29">
                  <c:v>1273</c:v>
                </c:pt>
                <c:pt idx="30">
                  <c:v>728</c:v>
                </c:pt>
                <c:pt idx="31">
                  <c:v>297</c:v>
                </c:pt>
                <c:pt idx="3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E-4370-B917-FE35DE9EE388}"/>
            </c:ext>
          </c:extLst>
        </c:ser>
        <c:ser>
          <c:idx val="2"/>
          <c:order val="2"/>
          <c:tx>
            <c:strRef>
              <c:f>Ventes!$F$3</c:f>
              <c:strCache>
                <c:ptCount val="1"/>
                <c:pt idx="0">
                  <c:v>Hertraz 150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Ventes!$F$4:$F$39</c:f>
              <c:numCache>
                <c:formatCode>General</c:formatCode>
                <c:ptCount val="36"/>
                <c:pt idx="0">
                  <c:v>4794</c:v>
                </c:pt>
                <c:pt idx="1">
                  <c:v>2594</c:v>
                </c:pt>
                <c:pt idx="2">
                  <c:v>3829</c:v>
                </c:pt>
                <c:pt idx="3">
                  <c:v>4539</c:v>
                </c:pt>
                <c:pt idx="4">
                  <c:v>2958</c:v>
                </c:pt>
                <c:pt idx="5">
                  <c:v>3027</c:v>
                </c:pt>
                <c:pt idx="6">
                  <c:v>2661</c:v>
                </c:pt>
                <c:pt idx="7">
                  <c:v>1554</c:v>
                </c:pt>
                <c:pt idx="8">
                  <c:v>466</c:v>
                </c:pt>
                <c:pt idx="9">
                  <c:v>420</c:v>
                </c:pt>
                <c:pt idx="10">
                  <c:v>398</c:v>
                </c:pt>
                <c:pt idx="11">
                  <c:v>670</c:v>
                </c:pt>
                <c:pt idx="12">
                  <c:v>205</c:v>
                </c:pt>
                <c:pt idx="13">
                  <c:v>168</c:v>
                </c:pt>
                <c:pt idx="14">
                  <c:v>179</c:v>
                </c:pt>
                <c:pt idx="15">
                  <c:v>336</c:v>
                </c:pt>
                <c:pt idx="16">
                  <c:v>519</c:v>
                </c:pt>
                <c:pt idx="17">
                  <c:v>265</c:v>
                </c:pt>
                <c:pt idx="18">
                  <c:v>433</c:v>
                </c:pt>
                <c:pt idx="19">
                  <c:v>340</c:v>
                </c:pt>
                <c:pt idx="20">
                  <c:v>374</c:v>
                </c:pt>
                <c:pt idx="21">
                  <c:v>381</c:v>
                </c:pt>
                <c:pt idx="22">
                  <c:v>449</c:v>
                </c:pt>
                <c:pt idx="23">
                  <c:v>296</c:v>
                </c:pt>
                <c:pt idx="24">
                  <c:v>313</c:v>
                </c:pt>
                <c:pt idx="25">
                  <c:v>378</c:v>
                </c:pt>
                <c:pt idx="26">
                  <c:v>436</c:v>
                </c:pt>
                <c:pt idx="27">
                  <c:v>311</c:v>
                </c:pt>
                <c:pt idx="28">
                  <c:v>151</c:v>
                </c:pt>
                <c:pt idx="29">
                  <c:v>226</c:v>
                </c:pt>
                <c:pt idx="30">
                  <c:v>134</c:v>
                </c:pt>
                <c:pt idx="31">
                  <c:v>2051</c:v>
                </c:pt>
                <c:pt idx="32">
                  <c:v>4466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E-4370-B917-FE35DE9EE388}"/>
            </c:ext>
          </c:extLst>
        </c:ser>
        <c:ser>
          <c:idx val="3"/>
          <c:order val="3"/>
          <c:tx>
            <c:strRef>
              <c:f>Ventes!$G$3</c:f>
              <c:strCache>
                <c:ptCount val="1"/>
                <c:pt idx="0">
                  <c:v>Hertraz 440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Ventes!$G$4:$G$39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1379</c:v>
                </c:pt>
                <c:pt idx="8">
                  <c:v>1311</c:v>
                </c:pt>
                <c:pt idx="9">
                  <c:v>1433</c:v>
                </c:pt>
                <c:pt idx="10">
                  <c:v>925</c:v>
                </c:pt>
                <c:pt idx="11">
                  <c:v>1512</c:v>
                </c:pt>
                <c:pt idx="12">
                  <c:v>1624</c:v>
                </c:pt>
                <c:pt idx="13">
                  <c:v>619</c:v>
                </c:pt>
                <c:pt idx="14">
                  <c:v>1493</c:v>
                </c:pt>
                <c:pt idx="15">
                  <c:v>1286</c:v>
                </c:pt>
                <c:pt idx="16">
                  <c:v>943</c:v>
                </c:pt>
                <c:pt idx="17">
                  <c:v>1246</c:v>
                </c:pt>
                <c:pt idx="18">
                  <c:v>1024</c:v>
                </c:pt>
                <c:pt idx="19">
                  <c:v>1332</c:v>
                </c:pt>
                <c:pt idx="20">
                  <c:v>1273</c:v>
                </c:pt>
                <c:pt idx="21">
                  <c:v>1526</c:v>
                </c:pt>
                <c:pt idx="22">
                  <c:v>1272</c:v>
                </c:pt>
                <c:pt idx="23">
                  <c:v>952</c:v>
                </c:pt>
                <c:pt idx="24">
                  <c:v>1349</c:v>
                </c:pt>
                <c:pt idx="25">
                  <c:v>1471</c:v>
                </c:pt>
                <c:pt idx="26">
                  <c:v>1335</c:v>
                </c:pt>
                <c:pt idx="27">
                  <c:v>922</c:v>
                </c:pt>
                <c:pt idx="28">
                  <c:v>1136</c:v>
                </c:pt>
                <c:pt idx="29">
                  <c:v>1334</c:v>
                </c:pt>
                <c:pt idx="30">
                  <c:v>1032</c:v>
                </c:pt>
                <c:pt idx="31">
                  <c:v>258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8E-4370-B917-FE35DE9EE388}"/>
            </c:ext>
          </c:extLst>
        </c:ser>
        <c:ser>
          <c:idx val="4"/>
          <c:order val="4"/>
          <c:tx>
            <c:strRef>
              <c:f>Ventes!$H$3</c:f>
              <c:strCache>
                <c:ptCount val="1"/>
                <c:pt idx="0">
                  <c:v>Hulio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Ventes!$H$4:$H$39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622</c:v>
                </c:pt>
                <c:pt idx="20">
                  <c:v>1214</c:v>
                </c:pt>
                <c:pt idx="21">
                  <c:v>1833</c:v>
                </c:pt>
                <c:pt idx="22">
                  <c:v>1632</c:v>
                </c:pt>
                <c:pt idx="23">
                  <c:v>1196</c:v>
                </c:pt>
                <c:pt idx="24">
                  <c:v>1691</c:v>
                </c:pt>
                <c:pt idx="25">
                  <c:v>1190</c:v>
                </c:pt>
                <c:pt idx="26">
                  <c:v>1483</c:v>
                </c:pt>
                <c:pt idx="27">
                  <c:v>1700</c:v>
                </c:pt>
                <c:pt idx="28">
                  <c:v>1373</c:v>
                </c:pt>
                <c:pt idx="29">
                  <c:v>2866</c:v>
                </c:pt>
                <c:pt idx="30">
                  <c:v>908</c:v>
                </c:pt>
                <c:pt idx="31">
                  <c:v>1565</c:v>
                </c:pt>
                <c:pt idx="32">
                  <c:v>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8E-4370-B917-FE35DE9EE388}"/>
            </c:ext>
          </c:extLst>
        </c:ser>
        <c:ser>
          <c:idx val="5"/>
          <c:order val="5"/>
          <c:tx>
            <c:strRef>
              <c:f>Ventes!$I$3</c:f>
              <c:strCache>
                <c:ptCount val="1"/>
                <c:pt idx="0">
                  <c:v>Semglee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Ventes!$I$4:$I$39</c:f>
              <c:numCache>
                <c:formatCode>General</c:formatCode>
                <c:ptCount val="36"/>
                <c:pt idx="0">
                  <c:v>899</c:v>
                </c:pt>
                <c:pt idx="1">
                  <c:v>1008</c:v>
                </c:pt>
                <c:pt idx="2">
                  <c:v>820</c:v>
                </c:pt>
                <c:pt idx="3">
                  <c:v>853</c:v>
                </c:pt>
                <c:pt idx="4">
                  <c:v>1154</c:v>
                </c:pt>
                <c:pt idx="5">
                  <c:v>1006</c:v>
                </c:pt>
                <c:pt idx="6">
                  <c:v>913</c:v>
                </c:pt>
                <c:pt idx="7">
                  <c:v>798</c:v>
                </c:pt>
                <c:pt idx="8">
                  <c:v>1020</c:v>
                </c:pt>
                <c:pt idx="9">
                  <c:v>949</c:v>
                </c:pt>
                <c:pt idx="10">
                  <c:v>880</c:v>
                </c:pt>
                <c:pt idx="11">
                  <c:v>930</c:v>
                </c:pt>
                <c:pt idx="12">
                  <c:v>963</c:v>
                </c:pt>
                <c:pt idx="13">
                  <c:v>905</c:v>
                </c:pt>
                <c:pt idx="14">
                  <c:v>1109</c:v>
                </c:pt>
                <c:pt idx="15">
                  <c:v>1049</c:v>
                </c:pt>
                <c:pt idx="16">
                  <c:v>1145</c:v>
                </c:pt>
                <c:pt idx="17">
                  <c:v>839</c:v>
                </c:pt>
                <c:pt idx="18">
                  <c:v>1210</c:v>
                </c:pt>
                <c:pt idx="19">
                  <c:v>730</c:v>
                </c:pt>
                <c:pt idx="20">
                  <c:v>163</c:v>
                </c:pt>
                <c:pt idx="21">
                  <c:v>93</c:v>
                </c:pt>
                <c:pt idx="22">
                  <c:v>42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8E-4370-B917-FE35DE9EE388}"/>
            </c:ext>
          </c:extLst>
        </c:ser>
        <c:ser>
          <c:idx val="6"/>
          <c:order val="6"/>
          <c:tx>
            <c:strRef>
              <c:f>Ventes!$J$3</c:f>
              <c:strCache>
                <c:ptCount val="1"/>
                <c:pt idx="0">
                  <c:v>Fulphila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Ventes!$J$4:$J$39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17</c:v>
                </c:pt>
                <c:pt idx="28">
                  <c:v>24</c:v>
                </c:pt>
                <c:pt idx="29">
                  <c:v>22</c:v>
                </c:pt>
                <c:pt idx="30">
                  <c:v>15</c:v>
                </c:pt>
                <c:pt idx="31">
                  <c:v>13</c:v>
                </c:pt>
                <c:pt idx="3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8E-4370-B917-FE35DE9EE388}"/>
            </c:ext>
          </c:extLst>
        </c:ser>
        <c:ser>
          <c:idx val="7"/>
          <c:order val="7"/>
          <c:tx>
            <c:strRef>
              <c:f>Ventes!$K$3</c:f>
              <c:strCache>
                <c:ptCount val="1"/>
                <c:pt idx="0">
                  <c:v>Ogivri 150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Ventes!$K$4:$K$39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3-41C8-B1FA-17FFA05D55B0}"/>
            </c:ext>
          </c:extLst>
        </c:ser>
        <c:ser>
          <c:idx val="8"/>
          <c:order val="8"/>
          <c:tx>
            <c:strRef>
              <c:f>Ventes!$L$3</c:f>
              <c:strCache>
                <c:ptCount val="1"/>
                <c:pt idx="0">
                  <c:v>Ogivri 420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Ventes!$L$4:$L$39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63-41C8-B1FA-17FFA05D55B0}"/>
            </c:ext>
          </c:extLst>
        </c:ser>
        <c:ser>
          <c:idx val="9"/>
          <c:order val="9"/>
          <c:tx>
            <c:strRef>
              <c:f>Ventes!$M$3</c:f>
              <c:strCache>
                <c:ptCount val="1"/>
                <c:pt idx="0">
                  <c:v>Nepexto 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Ventes!$M$4:$M$39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63-41C8-B1FA-17FFA05D55B0}"/>
            </c:ext>
          </c:extLst>
        </c:ser>
        <c:ser>
          <c:idx val="10"/>
          <c:order val="10"/>
          <c:tx>
            <c:strRef>
              <c:f>Ventes!$N$3</c:f>
              <c:strCache>
                <c:ptCount val="1"/>
                <c:pt idx="0">
                  <c:v>Nepexto 50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multiLvlStrRef>
              <c:f>Ventes!$B$4:$C$39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Ventes!$N$4:$N$39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346</c:v>
                </c:pt>
                <c:pt idx="29">
                  <c:v>386</c:v>
                </c:pt>
                <c:pt idx="30">
                  <c:v>428</c:v>
                </c:pt>
                <c:pt idx="31">
                  <c:v>501</c:v>
                </c:pt>
                <c:pt idx="32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63-41C8-B1FA-17FFA05D5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79935"/>
        <c:axId val="59290015"/>
      </c:lineChart>
      <c:catAx>
        <c:axId val="5927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90015"/>
        <c:crosses val="autoZero"/>
        <c:auto val="1"/>
        <c:lblAlgn val="ctr"/>
        <c:lblOffset val="100"/>
        <c:noMultiLvlLbl val="0"/>
      </c:catAx>
      <c:valAx>
        <c:axId val="592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27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Evolution Stock Biosim PCT depuis Janvier-2024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Stock!$D$3</c:f>
              <c:strCache>
                <c:ptCount val="1"/>
                <c:pt idx="0">
                  <c:v>Abevmy 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Stock!$D$4:$D$39</c:f>
              <c:numCache>
                <c:formatCode>General</c:formatCode>
                <c:ptCount val="36"/>
                <c:pt idx="0">
                  <c:v>1</c:v>
                </c:pt>
                <c:pt idx="1">
                  <c:v>386</c:v>
                </c:pt>
                <c:pt idx="2">
                  <c:v>2715</c:v>
                </c:pt>
                <c:pt idx="3">
                  <c:v>7497</c:v>
                </c:pt>
                <c:pt idx="4">
                  <c:v>6486</c:v>
                </c:pt>
                <c:pt idx="5">
                  <c:v>5907</c:v>
                </c:pt>
                <c:pt idx="6">
                  <c:v>7328</c:v>
                </c:pt>
                <c:pt idx="7">
                  <c:v>6590</c:v>
                </c:pt>
                <c:pt idx="8">
                  <c:v>5366</c:v>
                </c:pt>
                <c:pt idx="9">
                  <c:v>7230</c:v>
                </c:pt>
                <c:pt idx="10">
                  <c:v>6136</c:v>
                </c:pt>
                <c:pt idx="11">
                  <c:v>9022</c:v>
                </c:pt>
                <c:pt idx="12">
                  <c:v>7959</c:v>
                </c:pt>
                <c:pt idx="13">
                  <c:v>10144</c:v>
                </c:pt>
                <c:pt idx="14">
                  <c:v>9006</c:v>
                </c:pt>
                <c:pt idx="15">
                  <c:v>8108</c:v>
                </c:pt>
                <c:pt idx="16">
                  <c:v>7368</c:v>
                </c:pt>
                <c:pt idx="17">
                  <c:v>9350</c:v>
                </c:pt>
                <c:pt idx="18">
                  <c:v>8375</c:v>
                </c:pt>
                <c:pt idx="19">
                  <c:v>7053</c:v>
                </c:pt>
                <c:pt idx="20">
                  <c:v>10145</c:v>
                </c:pt>
                <c:pt idx="21">
                  <c:v>8873</c:v>
                </c:pt>
                <c:pt idx="22">
                  <c:v>7877</c:v>
                </c:pt>
                <c:pt idx="23">
                  <c:v>7039</c:v>
                </c:pt>
                <c:pt idx="24">
                  <c:v>5835</c:v>
                </c:pt>
                <c:pt idx="25">
                  <c:v>4793</c:v>
                </c:pt>
                <c:pt idx="26">
                  <c:v>3424</c:v>
                </c:pt>
                <c:pt idx="27">
                  <c:v>5166</c:v>
                </c:pt>
                <c:pt idx="28">
                  <c:v>4367</c:v>
                </c:pt>
                <c:pt idx="29">
                  <c:v>3221</c:v>
                </c:pt>
                <c:pt idx="30">
                  <c:v>2297</c:v>
                </c:pt>
                <c:pt idx="31">
                  <c:v>1446</c:v>
                </c:pt>
                <c:pt idx="32">
                  <c:v>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B-4984-B6AC-FE40DA71EE4D}"/>
            </c:ext>
          </c:extLst>
        </c:ser>
        <c:ser>
          <c:idx val="1"/>
          <c:order val="1"/>
          <c:tx>
            <c:strRef>
              <c:f>Stock!$E$3</c:f>
              <c:strCache>
                <c:ptCount val="1"/>
                <c:pt idx="0">
                  <c:v>Abevmy 400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Stock!$E$4:$E$39</c:f>
              <c:numCache>
                <c:formatCode>General</c:formatCode>
                <c:ptCount val="36"/>
                <c:pt idx="0">
                  <c:v>1265</c:v>
                </c:pt>
                <c:pt idx="1">
                  <c:v>633</c:v>
                </c:pt>
                <c:pt idx="2">
                  <c:v>61</c:v>
                </c:pt>
                <c:pt idx="3">
                  <c:v>3455</c:v>
                </c:pt>
                <c:pt idx="4">
                  <c:v>2010</c:v>
                </c:pt>
                <c:pt idx="5">
                  <c:v>1481</c:v>
                </c:pt>
                <c:pt idx="6">
                  <c:v>2172</c:v>
                </c:pt>
                <c:pt idx="7">
                  <c:v>1520</c:v>
                </c:pt>
                <c:pt idx="8">
                  <c:v>4041</c:v>
                </c:pt>
                <c:pt idx="9">
                  <c:v>2993</c:v>
                </c:pt>
                <c:pt idx="10">
                  <c:v>2307</c:v>
                </c:pt>
                <c:pt idx="11">
                  <c:v>6864</c:v>
                </c:pt>
                <c:pt idx="12">
                  <c:v>9017</c:v>
                </c:pt>
                <c:pt idx="13">
                  <c:v>9680</c:v>
                </c:pt>
                <c:pt idx="14">
                  <c:v>13088</c:v>
                </c:pt>
                <c:pt idx="15">
                  <c:v>12371</c:v>
                </c:pt>
                <c:pt idx="16">
                  <c:v>11304</c:v>
                </c:pt>
                <c:pt idx="17">
                  <c:v>12248</c:v>
                </c:pt>
                <c:pt idx="18">
                  <c:v>11590</c:v>
                </c:pt>
                <c:pt idx="19">
                  <c:v>10533</c:v>
                </c:pt>
                <c:pt idx="20">
                  <c:v>9602</c:v>
                </c:pt>
                <c:pt idx="21">
                  <c:v>8611</c:v>
                </c:pt>
                <c:pt idx="22">
                  <c:v>7602</c:v>
                </c:pt>
                <c:pt idx="23">
                  <c:v>6865</c:v>
                </c:pt>
                <c:pt idx="24">
                  <c:v>5729</c:v>
                </c:pt>
                <c:pt idx="25">
                  <c:v>4985</c:v>
                </c:pt>
                <c:pt idx="26">
                  <c:v>3998</c:v>
                </c:pt>
                <c:pt idx="27">
                  <c:v>3142</c:v>
                </c:pt>
                <c:pt idx="28">
                  <c:v>2321</c:v>
                </c:pt>
                <c:pt idx="29">
                  <c:v>1048</c:v>
                </c:pt>
                <c:pt idx="30">
                  <c:v>320</c:v>
                </c:pt>
                <c:pt idx="31">
                  <c:v>23</c:v>
                </c:pt>
                <c:pt idx="3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B-4984-B6AC-FE40DA71EE4D}"/>
            </c:ext>
          </c:extLst>
        </c:ser>
        <c:ser>
          <c:idx val="2"/>
          <c:order val="2"/>
          <c:tx>
            <c:strRef>
              <c:f>Stock!$F$3</c:f>
              <c:strCache>
                <c:ptCount val="1"/>
                <c:pt idx="0">
                  <c:v>Hertraz 150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Stock!$F$4:$F$39</c:f>
              <c:numCache>
                <c:formatCode>General</c:formatCode>
                <c:ptCount val="36"/>
                <c:pt idx="0">
                  <c:v>11805</c:v>
                </c:pt>
                <c:pt idx="1">
                  <c:v>9211</c:v>
                </c:pt>
                <c:pt idx="2">
                  <c:v>5382</c:v>
                </c:pt>
                <c:pt idx="3">
                  <c:v>7444</c:v>
                </c:pt>
                <c:pt idx="4">
                  <c:v>4486</c:v>
                </c:pt>
                <c:pt idx="5">
                  <c:v>1459</c:v>
                </c:pt>
                <c:pt idx="6">
                  <c:v>10298</c:v>
                </c:pt>
                <c:pt idx="7">
                  <c:v>8744</c:v>
                </c:pt>
                <c:pt idx="8">
                  <c:v>8278</c:v>
                </c:pt>
                <c:pt idx="9">
                  <c:v>14757</c:v>
                </c:pt>
                <c:pt idx="10">
                  <c:v>14359</c:v>
                </c:pt>
                <c:pt idx="11">
                  <c:v>13689</c:v>
                </c:pt>
                <c:pt idx="12">
                  <c:v>18478</c:v>
                </c:pt>
                <c:pt idx="13">
                  <c:v>18310</c:v>
                </c:pt>
                <c:pt idx="14">
                  <c:v>18131</c:v>
                </c:pt>
                <c:pt idx="15">
                  <c:v>17795</c:v>
                </c:pt>
                <c:pt idx="16">
                  <c:v>17276</c:v>
                </c:pt>
                <c:pt idx="17">
                  <c:v>17011</c:v>
                </c:pt>
                <c:pt idx="18">
                  <c:v>16578</c:v>
                </c:pt>
                <c:pt idx="19">
                  <c:v>16238</c:v>
                </c:pt>
                <c:pt idx="20">
                  <c:v>15864</c:v>
                </c:pt>
                <c:pt idx="21">
                  <c:v>15483</c:v>
                </c:pt>
                <c:pt idx="22">
                  <c:v>15034</c:v>
                </c:pt>
                <c:pt idx="23">
                  <c:v>14738</c:v>
                </c:pt>
                <c:pt idx="24">
                  <c:v>14425</c:v>
                </c:pt>
                <c:pt idx="25">
                  <c:v>14047</c:v>
                </c:pt>
                <c:pt idx="26">
                  <c:v>13611</c:v>
                </c:pt>
                <c:pt idx="27">
                  <c:v>13300</c:v>
                </c:pt>
                <c:pt idx="28">
                  <c:v>13149</c:v>
                </c:pt>
                <c:pt idx="29">
                  <c:v>12923</c:v>
                </c:pt>
                <c:pt idx="30">
                  <c:v>12789</c:v>
                </c:pt>
                <c:pt idx="31">
                  <c:v>10738</c:v>
                </c:pt>
                <c:pt idx="32">
                  <c:v>6272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B-4984-B6AC-FE40DA71EE4D}"/>
            </c:ext>
          </c:extLst>
        </c:ser>
        <c:ser>
          <c:idx val="3"/>
          <c:order val="3"/>
          <c:tx>
            <c:strRef>
              <c:f>Stock!$G$3</c:f>
              <c:strCache>
                <c:ptCount val="1"/>
                <c:pt idx="0">
                  <c:v>Hertraz 440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Stock!$G$4:$G$39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6189</c:v>
                </c:pt>
                <c:pt idx="4">
                  <c:v>6189</c:v>
                </c:pt>
                <c:pt idx="5">
                  <c:v>6189</c:v>
                </c:pt>
                <c:pt idx="6">
                  <c:v>9339</c:v>
                </c:pt>
                <c:pt idx="7">
                  <c:v>7960</c:v>
                </c:pt>
                <c:pt idx="8">
                  <c:v>6649</c:v>
                </c:pt>
                <c:pt idx="9">
                  <c:v>7966</c:v>
                </c:pt>
                <c:pt idx="10">
                  <c:v>7041</c:v>
                </c:pt>
                <c:pt idx="11">
                  <c:v>7949</c:v>
                </c:pt>
                <c:pt idx="12">
                  <c:v>7954</c:v>
                </c:pt>
                <c:pt idx="13">
                  <c:v>7335</c:v>
                </c:pt>
                <c:pt idx="14">
                  <c:v>5842</c:v>
                </c:pt>
                <c:pt idx="15">
                  <c:v>7306</c:v>
                </c:pt>
                <c:pt idx="16">
                  <c:v>6363</c:v>
                </c:pt>
                <c:pt idx="17">
                  <c:v>11228</c:v>
                </c:pt>
                <c:pt idx="18">
                  <c:v>10204</c:v>
                </c:pt>
                <c:pt idx="19">
                  <c:v>8872</c:v>
                </c:pt>
                <c:pt idx="20">
                  <c:v>9903</c:v>
                </c:pt>
                <c:pt idx="21">
                  <c:v>11073</c:v>
                </c:pt>
                <c:pt idx="22">
                  <c:v>9801</c:v>
                </c:pt>
                <c:pt idx="23">
                  <c:v>8837</c:v>
                </c:pt>
                <c:pt idx="24">
                  <c:v>7488</c:v>
                </c:pt>
                <c:pt idx="25">
                  <c:v>6017</c:v>
                </c:pt>
                <c:pt idx="26">
                  <c:v>4682</c:v>
                </c:pt>
                <c:pt idx="27">
                  <c:v>3760</c:v>
                </c:pt>
                <c:pt idx="28">
                  <c:v>2624</c:v>
                </c:pt>
                <c:pt idx="29">
                  <c:v>1290</c:v>
                </c:pt>
                <c:pt idx="30">
                  <c:v>258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1B-4984-B6AC-FE40DA71EE4D}"/>
            </c:ext>
          </c:extLst>
        </c:ser>
        <c:ser>
          <c:idx val="4"/>
          <c:order val="4"/>
          <c:tx>
            <c:strRef>
              <c:f>Stock!$H$3</c:f>
              <c:strCache>
                <c:ptCount val="1"/>
                <c:pt idx="0">
                  <c:v>Hulio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Stock!$H$4:$H$39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2000</c:v>
                </c:pt>
                <c:pt idx="19">
                  <c:v>1378</c:v>
                </c:pt>
                <c:pt idx="20">
                  <c:v>8588</c:v>
                </c:pt>
                <c:pt idx="21">
                  <c:v>6750</c:v>
                </c:pt>
                <c:pt idx="22">
                  <c:v>18666</c:v>
                </c:pt>
                <c:pt idx="23">
                  <c:v>17470</c:v>
                </c:pt>
                <c:pt idx="24">
                  <c:v>15779</c:v>
                </c:pt>
                <c:pt idx="25">
                  <c:v>14589</c:v>
                </c:pt>
                <c:pt idx="26">
                  <c:v>13106</c:v>
                </c:pt>
                <c:pt idx="27">
                  <c:v>11406</c:v>
                </c:pt>
                <c:pt idx="28">
                  <c:v>10033</c:v>
                </c:pt>
                <c:pt idx="29">
                  <c:v>7167</c:v>
                </c:pt>
                <c:pt idx="30">
                  <c:v>6259</c:v>
                </c:pt>
                <c:pt idx="31">
                  <c:v>4694</c:v>
                </c:pt>
                <c:pt idx="32">
                  <c:v>4107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1B-4984-B6AC-FE40DA71EE4D}"/>
            </c:ext>
          </c:extLst>
        </c:ser>
        <c:ser>
          <c:idx val="5"/>
          <c:order val="5"/>
          <c:tx>
            <c:strRef>
              <c:f>Stock!$I$3</c:f>
              <c:strCache>
                <c:ptCount val="1"/>
                <c:pt idx="0">
                  <c:v>Semglee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Stock!$I$4:$I$39</c:f>
              <c:numCache>
                <c:formatCode>General</c:formatCode>
                <c:ptCount val="36"/>
                <c:pt idx="0">
                  <c:v>42750</c:v>
                </c:pt>
                <c:pt idx="1">
                  <c:v>41742</c:v>
                </c:pt>
                <c:pt idx="2">
                  <c:v>40922</c:v>
                </c:pt>
                <c:pt idx="3">
                  <c:v>40069</c:v>
                </c:pt>
                <c:pt idx="4">
                  <c:v>38915</c:v>
                </c:pt>
                <c:pt idx="5">
                  <c:v>37909</c:v>
                </c:pt>
                <c:pt idx="6">
                  <c:v>36996</c:v>
                </c:pt>
                <c:pt idx="7">
                  <c:v>36198</c:v>
                </c:pt>
                <c:pt idx="8">
                  <c:v>35178</c:v>
                </c:pt>
                <c:pt idx="9">
                  <c:v>34107</c:v>
                </c:pt>
                <c:pt idx="10">
                  <c:v>33227</c:v>
                </c:pt>
                <c:pt idx="11">
                  <c:v>32297</c:v>
                </c:pt>
                <c:pt idx="12">
                  <c:v>31334</c:v>
                </c:pt>
                <c:pt idx="13">
                  <c:v>30429</c:v>
                </c:pt>
                <c:pt idx="14">
                  <c:v>29310</c:v>
                </c:pt>
                <c:pt idx="15">
                  <c:v>28271</c:v>
                </c:pt>
                <c:pt idx="16">
                  <c:v>27126</c:v>
                </c:pt>
                <c:pt idx="17">
                  <c:v>26287</c:v>
                </c:pt>
                <c:pt idx="18">
                  <c:v>25077</c:v>
                </c:pt>
                <c:pt idx="19">
                  <c:v>24347</c:v>
                </c:pt>
                <c:pt idx="20">
                  <c:v>23040</c:v>
                </c:pt>
                <c:pt idx="21">
                  <c:v>22947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1B-4984-B6AC-FE40DA71EE4D}"/>
            </c:ext>
          </c:extLst>
        </c:ser>
        <c:ser>
          <c:idx val="6"/>
          <c:order val="6"/>
          <c:tx>
            <c:strRef>
              <c:f>Stock!$J$3</c:f>
              <c:strCache>
                <c:ptCount val="1"/>
                <c:pt idx="0">
                  <c:v>Fulphila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Stock!$J$4:$J$39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960</c:v>
                </c:pt>
                <c:pt idx="25">
                  <c:v>1999</c:v>
                </c:pt>
                <c:pt idx="26">
                  <c:v>1994</c:v>
                </c:pt>
                <c:pt idx="27">
                  <c:v>1977</c:v>
                </c:pt>
                <c:pt idx="28">
                  <c:v>1953</c:v>
                </c:pt>
                <c:pt idx="29">
                  <c:v>1931</c:v>
                </c:pt>
                <c:pt idx="30">
                  <c:v>1916</c:v>
                </c:pt>
                <c:pt idx="31">
                  <c:v>1903</c:v>
                </c:pt>
                <c:pt idx="32">
                  <c:v>1887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1B-4984-B6AC-FE40DA71EE4D}"/>
            </c:ext>
          </c:extLst>
        </c:ser>
        <c:ser>
          <c:idx val="7"/>
          <c:order val="7"/>
          <c:tx>
            <c:strRef>
              <c:f>Stock!$K$3</c:f>
              <c:strCache>
                <c:ptCount val="1"/>
                <c:pt idx="0">
                  <c:v>Ogivri 150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Stock!$K$4:$K$39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F-4E43-9E64-6C60F3C94420}"/>
            </c:ext>
          </c:extLst>
        </c:ser>
        <c:ser>
          <c:idx val="8"/>
          <c:order val="8"/>
          <c:tx>
            <c:strRef>
              <c:f>Stock!$L$3</c:f>
              <c:strCache>
                <c:ptCount val="1"/>
                <c:pt idx="0">
                  <c:v>Ogivri 420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Stock!$L$4:$L$39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F-4E43-9E64-6C60F3C94420}"/>
            </c:ext>
          </c:extLst>
        </c:ser>
        <c:ser>
          <c:idx val="9"/>
          <c:order val="9"/>
          <c:tx>
            <c:strRef>
              <c:f>Stock!$M$3</c:f>
              <c:strCache>
                <c:ptCount val="1"/>
                <c:pt idx="0">
                  <c:v>Nepexto 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Stock!$M$4:$M$39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5F-4E43-9E64-6C60F3C94420}"/>
            </c:ext>
          </c:extLst>
        </c:ser>
        <c:ser>
          <c:idx val="10"/>
          <c:order val="10"/>
          <c:tx>
            <c:strRef>
              <c:f>Stock!$N$3</c:f>
              <c:strCache>
                <c:ptCount val="1"/>
                <c:pt idx="0">
                  <c:v>Nepexto 50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Stock!$B$4:$C$39</c:f>
              <c:multiLvlStrCache>
                <c:ptCount val="36"/>
                <c:lvl>
                  <c:pt idx="0">
                    <c:v>Janvier</c:v>
                  </c:pt>
                  <c:pt idx="1">
                    <c:v>Fevrier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Aout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Janvier</c:v>
                  </c:pt>
                  <c:pt idx="13">
                    <c:v>Fevrier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Aout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Stock!$N$4:$N$39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1634</c:v>
                </c:pt>
                <c:pt idx="29">
                  <c:v>1248</c:v>
                </c:pt>
                <c:pt idx="30">
                  <c:v>5942</c:v>
                </c:pt>
                <c:pt idx="31">
                  <c:v>5441</c:v>
                </c:pt>
                <c:pt idx="32">
                  <c:v>5138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5F-4E43-9E64-6C60F3C94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100480"/>
        <c:axId val="216080800"/>
      </c:lineChart>
      <c:catAx>
        <c:axId val="2161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6080800"/>
        <c:crosses val="autoZero"/>
        <c:auto val="1"/>
        <c:lblAlgn val="ctr"/>
        <c:lblOffset val="100"/>
        <c:noMultiLvlLbl val="0"/>
      </c:catAx>
      <c:valAx>
        <c:axId val="2160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61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388626</xdr:colOff>
      <xdr:row>3</xdr:row>
      <xdr:rowOff>7626</xdr:rowOff>
    </xdr:from>
    <xdr:to>
      <xdr:col>21</xdr:col>
      <xdr:colOff>464820</xdr:colOff>
      <xdr:row>26</xdr:row>
      <xdr:rowOff>114300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3814795-A0E5-C631-550A-ADF46755A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320046</xdr:colOff>
      <xdr:row>3</xdr:row>
      <xdr:rowOff>7626</xdr:rowOff>
    </xdr:from>
    <xdr:to>
      <xdr:col>24</xdr:col>
      <xdr:colOff>556260</xdr:colOff>
      <xdr:row>27</xdr:row>
      <xdr:rowOff>83820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21B7A99-63BD-DB19-D817-B0965DD17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27B7-F99A-47CC-B0BC-E86B5651AA4E}">
  <sheetPr>
    <pageSetUpPr fitToPage="1"/>
  </sheetPr>
  <dimension ref="B3:O77"/>
  <sheetViews>
    <sheetView tabSelected="1" workbookViewId="0">
      <pane xSplit="4" ySplit="3" topLeftCell="E63" activePane="bottomRight" state="frozen"/>
      <selection pane="topRight" activeCell="E1" sqref="E1"/>
      <selection pane="bottomLeft" activeCell="A4" sqref="A4"/>
      <selection pane="bottomRight" activeCell="I72" sqref="I72"/>
    </sheetView>
  </sheetViews>
  <sheetFormatPr baseColWidth="10" defaultColWidth="8.90625" defaultRowHeight="14.5" x14ac:dyDescent="0.35"/>
  <cols>
    <col min="2" max="2" width="8.81640625" style="1"/>
    <col min="4" max="4" width="13.08984375" customWidth="1"/>
    <col min="5" max="5" width="13.1796875" customWidth="1"/>
    <col min="6" max="6" width="13.36328125" customWidth="1"/>
    <col min="7" max="7" width="13.1796875" customWidth="1"/>
    <col min="8" max="8" width="10.1796875" bestFit="1" customWidth="1"/>
    <col min="9" max="9" width="9.54296875" customWidth="1"/>
    <col min="10" max="10" width="10.54296875" customWidth="1"/>
    <col min="11" max="11" width="8.81640625" customWidth="1"/>
    <col min="14" max="15" width="10.36328125" bestFit="1" customWidth="1"/>
  </cols>
  <sheetData>
    <row r="3" spans="2:15" x14ac:dyDescent="0.35">
      <c r="B3" s="2" t="s">
        <v>21</v>
      </c>
      <c r="C3" s="2" t="s">
        <v>22</v>
      </c>
      <c r="D3" s="2" t="s">
        <v>23</v>
      </c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30</v>
      </c>
      <c r="M3" s="2" t="s">
        <v>31</v>
      </c>
      <c r="N3" s="2" t="s">
        <v>32</v>
      </c>
      <c r="O3" s="2" t="s">
        <v>33</v>
      </c>
    </row>
    <row r="4" spans="2:15" x14ac:dyDescent="0.35">
      <c r="B4" s="4">
        <v>2024</v>
      </c>
      <c r="C4" s="3" t="s">
        <v>7</v>
      </c>
      <c r="D4" s="3" t="s">
        <v>8</v>
      </c>
      <c r="E4" s="3">
        <f>Ventes!D4</f>
        <v>0</v>
      </c>
      <c r="F4" s="3">
        <f>Ventes!E4</f>
        <v>712</v>
      </c>
      <c r="G4" s="3">
        <f>Ventes!F4</f>
        <v>4794</v>
      </c>
      <c r="H4" s="3">
        <f>Ventes!G4</f>
        <v>0</v>
      </c>
      <c r="I4" s="3">
        <f>Ventes!H4</f>
        <v>0</v>
      </c>
      <c r="J4" s="3">
        <f>Ventes!I4</f>
        <v>899</v>
      </c>
      <c r="K4" s="3">
        <f>Ventes!J4</f>
        <v>0</v>
      </c>
      <c r="L4" s="3">
        <v>0</v>
      </c>
      <c r="M4" s="3">
        <v>0</v>
      </c>
      <c r="N4" s="3">
        <v>0</v>
      </c>
      <c r="O4" s="3">
        <v>0</v>
      </c>
    </row>
    <row r="5" spans="2:15" x14ac:dyDescent="0.35">
      <c r="B5" s="4">
        <v>2024</v>
      </c>
      <c r="C5" s="3" t="s">
        <v>7</v>
      </c>
      <c r="D5" s="3" t="s">
        <v>9</v>
      </c>
      <c r="E5" s="3">
        <f>Stock!D4</f>
        <v>1</v>
      </c>
      <c r="F5" s="3">
        <f>Stock!E4</f>
        <v>1265</v>
      </c>
      <c r="G5" s="3">
        <f>Stock!F4</f>
        <v>11805</v>
      </c>
      <c r="H5" s="3">
        <f>Stock!G4</f>
        <v>0</v>
      </c>
      <c r="I5" s="3">
        <f>Stock!H4</f>
        <v>0</v>
      </c>
      <c r="J5" s="3">
        <f>Stock!I4</f>
        <v>42750</v>
      </c>
      <c r="K5" s="3">
        <f>Stock!J4</f>
        <v>0</v>
      </c>
      <c r="L5" s="3">
        <v>0</v>
      </c>
      <c r="M5" s="3">
        <v>0</v>
      </c>
      <c r="N5" s="3">
        <v>0</v>
      </c>
      <c r="O5" s="3">
        <v>0</v>
      </c>
    </row>
    <row r="6" spans="2:15" x14ac:dyDescent="0.35">
      <c r="B6" s="4">
        <v>2024</v>
      </c>
      <c r="C6" s="3" t="s">
        <v>10</v>
      </c>
      <c r="D6" s="3" t="s">
        <v>8</v>
      </c>
      <c r="E6" s="3">
        <f>Ventes!D5</f>
        <v>1235</v>
      </c>
      <c r="F6" s="3">
        <f>Ventes!E5</f>
        <v>622</v>
      </c>
      <c r="G6" s="3">
        <f>Ventes!F5</f>
        <v>2594</v>
      </c>
      <c r="H6" s="3">
        <f>Ventes!G5</f>
        <v>0</v>
      </c>
      <c r="I6" s="3">
        <f>Ventes!H5</f>
        <v>0</v>
      </c>
      <c r="J6" s="3">
        <f>Ventes!I5</f>
        <v>1008</v>
      </c>
      <c r="K6" s="3">
        <f>Ventes!J5</f>
        <v>0</v>
      </c>
      <c r="L6" s="3">
        <v>0</v>
      </c>
      <c r="M6" s="3">
        <v>0</v>
      </c>
      <c r="N6" s="3">
        <v>0</v>
      </c>
      <c r="O6" s="3">
        <v>0</v>
      </c>
    </row>
    <row r="7" spans="2:15" x14ac:dyDescent="0.35">
      <c r="B7" s="4">
        <v>2024</v>
      </c>
      <c r="C7" s="3" t="s">
        <v>10</v>
      </c>
      <c r="D7" s="3" t="s">
        <v>9</v>
      </c>
      <c r="E7" s="3">
        <f>Stock!D5</f>
        <v>386</v>
      </c>
      <c r="F7" s="3">
        <f>Stock!E5</f>
        <v>633</v>
      </c>
      <c r="G7" s="3">
        <f>Stock!F5</f>
        <v>9211</v>
      </c>
      <c r="H7" s="3">
        <f>Stock!G5</f>
        <v>0</v>
      </c>
      <c r="I7" s="3">
        <f>Stock!H5</f>
        <v>0</v>
      </c>
      <c r="J7" s="3">
        <f>Stock!I5</f>
        <v>41742</v>
      </c>
      <c r="K7" s="3">
        <f>Stock!J5</f>
        <v>0</v>
      </c>
      <c r="L7" s="3">
        <v>0</v>
      </c>
      <c r="M7" s="3">
        <v>0</v>
      </c>
      <c r="N7" s="3">
        <v>0</v>
      </c>
      <c r="O7" s="3">
        <v>0</v>
      </c>
    </row>
    <row r="8" spans="2:15" x14ac:dyDescent="0.35">
      <c r="B8" s="4">
        <v>2024</v>
      </c>
      <c r="C8" s="3" t="s">
        <v>11</v>
      </c>
      <c r="D8" s="3" t="s">
        <v>8</v>
      </c>
      <c r="E8" s="3">
        <f>Ventes!D6</f>
        <v>1051</v>
      </c>
      <c r="F8" s="3">
        <f>Ventes!E6</f>
        <v>572</v>
      </c>
      <c r="G8" s="3">
        <f>Ventes!F6</f>
        <v>3829</v>
      </c>
      <c r="H8" s="3">
        <f>Ventes!G6</f>
        <v>0</v>
      </c>
      <c r="I8" s="3">
        <f>Ventes!H6</f>
        <v>0</v>
      </c>
      <c r="J8" s="3">
        <f>Ventes!I6</f>
        <v>820</v>
      </c>
      <c r="K8" s="3">
        <f>Ventes!J6</f>
        <v>0</v>
      </c>
      <c r="L8" s="3">
        <v>0</v>
      </c>
      <c r="M8" s="3">
        <v>0</v>
      </c>
      <c r="N8" s="3">
        <v>0</v>
      </c>
      <c r="O8" s="3">
        <v>0</v>
      </c>
    </row>
    <row r="9" spans="2:15" x14ac:dyDescent="0.35">
      <c r="B9" s="4">
        <v>2024</v>
      </c>
      <c r="C9" s="3" t="s">
        <v>11</v>
      </c>
      <c r="D9" s="3" t="s">
        <v>9</v>
      </c>
      <c r="E9" s="3">
        <f>Stock!D6</f>
        <v>2715</v>
      </c>
      <c r="F9" s="3">
        <f>Stock!E6</f>
        <v>61</v>
      </c>
      <c r="G9" s="3">
        <f>Stock!F6</f>
        <v>5382</v>
      </c>
      <c r="H9" s="3">
        <f>Stock!G6</f>
        <v>0</v>
      </c>
      <c r="I9" s="3">
        <f>Stock!H6</f>
        <v>0</v>
      </c>
      <c r="J9" s="3">
        <f>Stock!I6</f>
        <v>40922</v>
      </c>
      <c r="K9" s="3">
        <f>Stock!J6</f>
        <v>0</v>
      </c>
      <c r="L9" s="3">
        <v>0</v>
      </c>
      <c r="M9" s="3">
        <v>0</v>
      </c>
      <c r="N9" s="3">
        <v>0</v>
      </c>
      <c r="O9" s="3">
        <v>0</v>
      </c>
    </row>
    <row r="10" spans="2:15" x14ac:dyDescent="0.35">
      <c r="B10" s="4">
        <v>2024</v>
      </c>
      <c r="C10" s="3" t="s">
        <v>12</v>
      </c>
      <c r="D10" s="3" t="s">
        <v>8</v>
      </c>
      <c r="E10" s="3">
        <f>Ventes!D7</f>
        <v>418</v>
      </c>
      <c r="F10" s="3">
        <f>Ventes!E7</f>
        <v>60</v>
      </c>
      <c r="G10" s="3">
        <f>Ventes!F7</f>
        <v>4539</v>
      </c>
      <c r="H10" s="3">
        <f>Ventes!G7</f>
        <v>0</v>
      </c>
      <c r="I10" s="3">
        <f>Ventes!H7</f>
        <v>0</v>
      </c>
      <c r="J10" s="3">
        <f>Ventes!I7</f>
        <v>853</v>
      </c>
      <c r="K10" s="3">
        <f>Ventes!J7</f>
        <v>0</v>
      </c>
      <c r="L10" s="3">
        <v>0</v>
      </c>
      <c r="M10" s="3">
        <v>0</v>
      </c>
      <c r="N10" s="3">
        <v>0</v>
      </c>
      <c r="O10" s="3">
        <v>0</v>
      </c>
    </row>
    <row r="11" spans="2:15" x14ac:dyDescent="0.35">
      <c r="B11" s="4">
        <v>2024</v>
      </c>
      <c r="C11" s="3" t="s">
        <v>12</v>
      </c>
      <c r="D11" s="3" t="s">
        <v>9</v>
      </c>
      <c r="E11" s="3">
        <f>Stock!D7</f>
        <v>7497</v>
      </c>
      <c r="F11" s="3">
        <f>Stock!E7</f>
        <v>3455</v>
      </c>
      <c r="G11" s="3">
        <f>Stock!F7</f>
        <v>7444</v>
      </c>
      <c r="H11" s="3">
        <f>Stock!G7</f>
        <v>6189</v>
      </c>
      <c r="I11" s="3">
        <f>Stock!H7</f>
        <v>0</v>
      </c>
      <c r="J11" s="3">
        <f>Stock!I7</f>
        <v>40069</v>
      </c>
      <c r="K11" s="3">
        <f>Stock!J7</f>
        <v>0</v>
      </c>
      <c r="L11" s="3">
        <v>0</v>
      </c>
      <c r="M11" s="3">
        <v>0</v>
      </c>
      <c r="N11" s="3">
        <v>0</v>
      </c>
      <c r="O11" s="3">
        <v>0</v>
      </c>
    </row>
    <row r="12" spans="2:15" x14ac:dyDescent="0.35">
      <c r="B12" s="4">
        <v>2024</v>
      </c>
      <c r="C12" s="3" t="s">
        <v>13</v>
      </c>
      <c r="D12" s="3" t="s">
        <v>8</v>
      </c>
      <c r="E12" s="3">
        <f>Ventes!D8</f>
        <v>1011</v>
      </c>
      <c r="F12" s="3">
        <f>Ventes!E8</f>
        <v>1445</v>
      </c>
      <c r="G12" s="3">
        <f>Ventes!F8</f>
        <v>2958</v>
      </c>
      <c r="H12" s="3">
        <f>Ventes!G8</f>
        <v>0</v>
      </c>
      <c r="I12" s="3">
        <f>Ventes!H8</f>
        <v>0</v>
      </c>
      <c r="J12" s="3">
        <f>Ventes!I8</f>
        <v>1154</v>
      </c>
      <c r="K12" s="3">
        <f>Ventes!J8</f>
        <v>0</v>
      </c>
      <c r="L12" s="3">
        <v>0</v>
      </c>
      <c r="M12" s="3">
        <v>0</v>
      </c>
      <c r="N12" s="3">
        <v>0</v>
      </c>
      <c r="O12" s="3">
        <v>0</v>
      </c>
    </row>
    <row r="13" spans="2:15" x14ac:dyDescent="0.35">
      <c r="B13" s="4">
        <v>2024</v>
      </c>
      <c r="C13" s="3" t="s">
        <v>13</v>
      </c>
      <c r="D13" s="3" t="s">
        <v>9</v>
      </c>
      <c r="E13" s="3">
        <f>Stock!D8</f>
        <v>6486</v>
      </c>
      <c r="F13" s="3">
        <f>Stock!E8</f>
        <v>2010</v>
      </c>
      <c r="G13" s="3">
        <f>Stock!F8</f>
        <v>4486</v>
      </c>
      <c r="H13" s="3">
        <f>Stock!G8</f>
        <v>6189</v>
      </c>
      <c r="I13" s="3">
        <f>Stock!H8</f>
        <v>0</v>
      </c>
      <c r="J13" s="3">
        <f>Stock!I8</f>
        <v>38915</v>
      </c>
      <c r="K13" s="3">
        <f>Stock!J8</f>
        <v>0</v>
      </c>
      <c r="L13" s="3">
        <v>0</v>
      </c>
      <c r="M13" s="3">
        <v>0</v>
      </c>
      <c r="N13" s="3">
        <v>0</v>
      </c>
      <c r="O13" s="3">
        <v>0</v>
      </c>
    </row>
    <row r="14" spans="2:15" x14ac:dyDescent="0.35">
      <c r="B14" s="4">
        <v>2024</v>
      </c>
      <c r="C14" s="3" t="s">
        <v>14</v>
      </c>
      <c r="D14" s="3" t="s">
        <v>8</v>
      </c>
      <c r="E14" s="3">
        <f>Ventes!D9</f>
        <v>579</v>
      </c>
      <c r="F14" s="3">
        <f>Ventes!E9</f>
        <v>529</v>
      </c>
      <c r="G14" s="3">
        <f>Ventes!F9</f>
        <v>3027</v>
      </c>
      <c r="H14" s="3">
        <f>Ventes!G9</f>
        <v>0</v>
      </c>
      <c r="I14" s="3">
        <f>Ventes!H9</f>
        <v>0</v>
      </c>
      <c r="J14" s="3">
        <f>Ventes!I9</f>
        <v>1006</v>
      </c>
      <c r="K14" s="3">
        <f>Ventes!J9</f>
        <v>0</v>
      </c>
      <c r="L14" s="3">
        <v>0</v>
      </c>
      <c r="M14" s="3">
        <v>0</v>
      </c>
      <c r="N14" s="3">
        <v>0</v>
      </c>
      <c r="O14" s="3">
        <v>0</v>
      </c>
    </row>
    <row r="15" spans="2:15" x14ac:dyDescent="0.35">
      <c r="B15" s="4">
        <v>2024</v>
      </c>
      <c r="C15" s="3" t="s">
        <v>14</v>
      </c>
      <c r="D15" s="3" t="s">
        <v>9</v>
      </c>
      <c r="E15" s="3">
        <f>Stock!D9</f>
        <v>5907</v>
      </c>
      <c r="F15" s="3">
        <f>Stock!E9</f>
        <v>1481</v>
      </c>
      <c r="G15" s="3">
        <f>Stock!F9</f>
        <v>1459</v>
      </c>
      <c r="H15" s="3">
        <f>Stock!G9</f>
        <v>6189</v>
      </c>
      <c r="I15" s="3">
        <f>Stock!H9</f>
        <v>0</v>
      </c>
      <c r="J15" s="3">
        <f>Stock!I9</f>
        <v>37909</v>
      </c>
      <c r="K15" s="3">
        <f>Stock!J9</f>
        <v>0</v>
      </c>
      <c r="L15" s="3">
        <v>0</v>
      </c>
      <c r="M15" s="3">
        <v>0</v>
      </c>
      <c r="N15" s="3">
        <v>0</v>
      </c>
      <c r="O15" s="3">
        <v>0</v>
      </c>
    </row>
    <row r="16" spans="2:15" x14ac:dyDescent="0.35">
      <c r="B16" s="4">
        <v>2024</v>
      </c>
      <c r="C16" s="3" t="s">
        <v>15</v>
      </c>
      <c r="D16" s="3" t="s">
        <v>8</v>
      </c>
      <c r="E16" s="3">
        <f>Ventes!D10</f>
        <v>829</v>
      </c>
      <c r="F16" s="3">
        <f>Ventes!E10</f>
        <v>794</v>
      </c>
      <c r="G16" s="3">
        <f>Ventes!F10</f>
        <v>2661</v>
      </c>
      <c r="H16" s="3">
        <f>Ventes!G10</f>
        <v>1</v>
      </c>
      <c r="I16" s="3">
        <f>Ventes!H10</f>
        <v>0</v>
      </c>
      <c r="J16" s="3">
        <f>Ventes!I10</f>
        <v>913</v>
      </c>
      <c r="K16" s="3">
        <f>Ventes!J10</f>
        <v>0</v>
      </c>
      <c r="L16" s="3">
        <v>0</v>
      </c>
      <c r="M16" s="3">
        <v>0</v>
      </c>
      <c r="N16" s="3">
        <v>0</v>
      </c>
      <c r="O16" s="3">
        <v>0</v>
      </c>
    </row>
    <row r="17" spans="2:15" x14ac:dyDescent="0.35">
      <c r="B17" s="4">
        <v>2024</v>
      </c>
      <c r="C17" s="3" t="s">
        <v>15</v>
      </c>
      <c r="D17" s="3" t="s">
        <v>9</v>
      </c>
      <c r="E17" s="3">
        <f>Stock!D10</f>
        <v>7328</v>
      </c>
      <c r="F17" s="3">
        <f>Stock!E10</f>
        <v>2172</v>
      </c>
      <c r="G17" s="3">
        <f>Stock!F10</f>
        <v>10298</v>
      </c>
      <c r="H17" s="3">
        <f>Stock!G10</f>
        <v>9339</v>
      </c>
      <c r="I17" s="3">
        <f>Stock!H10</f>
        <v>0</v>
      </c>
      <c r="J17" s="3">
        <f>Stock!I10</f>
        <v>36996</v>
      </c>
      <c r="K17" s="3">
        <f>Stock!J10</f>
        <v>0</v>
      </c>
      <c r="L17" s="3">
        <v>0</v>
      </c>
      <c r="M17" s="3">
        <v>0</v>
      </c>
      <c r="N17" s="3">
        <v>0</v>
      </c>
      <c r="O17" s="3">
        <v>0</v>
      </c>
    </row>
    <row r="18" spans="2:15" x14ac:dyDescent="0.35">
      <c r="B18" s="4">
        <v>2024</v>
      </c>
      <c r="C18" s="3" t="s">
        <v>16</v>
      </c>
      <c r="D18" s="3" t="s">
        <v>8</v>
      </c>
      <c r="E18" s="3">
        <f>Ventes!D11</f>
        <v>738</v>
      </c>
      <c r="F18" s="3">
        <f>Ventes!E11</f>
        <v>652</v>
      </c>
      <c r="G18" s="3">
        <f>Ventes!F11</f>
        <v>1554</v>
      </c>
      <c r="H18" s="3">
        <f>Ventes!G11</f>
        <v>1379</v>
      </c>
      <c r="I18" s="3">
        <f>Ventes!H11</f>
        <v>0</v>
      </c>
      <c r="J18" s="3">
        <f>Ventes!I11</f>
        <v>798</v>
      </c>
      <c r="K18" s="3">
        <f>Ventes!J11</f>
        <v>0</v>
      </c>
      <c r="L18" s="3">
        <v>0</v>
      </c>
      <c r="M18" s="3">
        <v>0</v>
      </c>
      <c r="N18" s="3">
        <v>0</v>
      </c>
      <c r="O18" s="3">
        <v>0</v>
      </c>
    </row>
    <row r="19" spans="2:15" x14ac:dyDescent="0.35">
      <c r="B19" s="4">
        <v>2024</v>
      </c>
      <c r="C19" s="3" t="s">
        <v>16</v>
      </c>
      <c r="D19" s="3" t="s">
        <v>9</v>
      </c>
      <c r="E19" s="3">
        <f>Stock!D11</f>
        <v>6590</v>
      </c>
      <c r="F19" s="3">
        <f>Stock!E11</f>
        <v>1520</v>
      </c>
      <c r="G19" s="3">
        <f>Stock!F11</f>
        <v>8744</v>
      </c>
      <c r="H19" s="3">
        <f>Stock!G11</f>
        <v>7960</v>
      </c>
      <c r="I19" s="3">
        <f>Stock!H11</f>
        <v>0</v>
      </c>
      <c r="J19" s="3">
        <f>Stock!I11</f>
        <v>36198</v>
      </c>
      <c r="K19" s="3">
        <f>Stock!J11</f>
        <v>0</v>
      </c>
      <c r="L19" s="3">
        <v>0</v>
      </c>
      <c r="M19" s="3">
        <v>0</v>
      </c>
      <c r="N19" s="3">
        <v>0</v>
      </c>
      <c r="O19" s="3">
        <v>0</v>
      </c>
    </row>
    <row r="20" spans="2:15" x14ac:dyDescent="0.35">
      <c r="B20" s="4">
        <v>2024</v>
      </c>
      <c r="C20" s="3" t="s">
        <v>17</v>
      </c>
      <c r="D20" s="3" t="s">
        <v>8</v>
      </c>
      <c r="E20" s="3">
        <f>Ventes!D12</f>
        <v>1224</v>
      </c>
      <c r="F20" s="3">
        <f>Ventes!E12</f>
        <v>979</v>
      </c>
      <c r="G20" s="3">
        <f>Ventes!F12</f>
        <v>466</v>
      </c>
      <c r="H20" s="3">
        <f>Ventes!G12</f>
        <v>1311</v>
      </c>
      <c r="I20" s="3">
        <f>Ventes!H12</f>
        <v>0</v>
      </c>
      <c r="J20" s="3">
        <f>Ventes!I12</f>
        <v>1020</v>
      </c>
      <c r="K20" s="3">
        <f>Ventes!J12</f>
        <v>0</v>
      </c>
      <c r="L20" s="3">
        <v>0</v>
      </c>
      <c r="M20" s="3">
        <v>0</v>
      </c>
      <c r="N20" s="3">
        <v>0</v>
      </c>
      <c r="O20" s="3">
        <v>0</v>
      </c>
    </row>
    <row r="21" spans="2:15" x14ac:dyDescent="0.35">
      <c r="B21" s="4">
        <v>2024</v>
      </c>
      <c r="C21" s="3" t="s">
        <v>17</v>
      </c>
      <c r="D21" s="3" t="s">
        <v>9</v>
      </c>
      <c r="E21" s="3">
        <f>Stock!D12</f>
        <v>5366</v>
      </c>
      <c r="F21" s="3">
        <f>Stock!E12</f>
        <v>4041</v>
      </c>
      <c r="G21" s="3">
        <f>Stock!F12</f>
        <v>8278</v>
      </c>
      <c r="H21" s="3">
        <f>Stock!G12</f>
        <v>6649</v>
      </c>
      <c r="I21" s="3">
        <f>Stock!H12</f>
        <v>0</v>
      </c>
      <c r="J21" s="3">
        <f>Stock!I12</f>
        <v>35178</v>
      </c>
      <c r="K21" s="3">
        <f>Stock!J12</f>
        <v>0</v>
      </c>
      <c r="L21" s="3">
        <v>0</v>
      </c>
      <c r="M21" s="3">
        <v>0</v>
      </c>
      <c r="N21" s="3">
        <v>0</v>
      </c>
      <c r="O21" s="3">
        <v>0</v>
      </c>
    </row>
    <row r="22" spans="2:15" x14ac:dyDescent="0.35">
      <c r="B22" s="4">
        <v>2024</v>
      </c>
      <c r="C22" s="3" t="s">
        <v>18</v>
      </c>
      <c r="D22" s="3" t="s">
        <v>8</v>
      </c>
      <c r="E22" s="3">
        <f>Ventes!D13</f>
        <v>636</v>
      </c>
      <c r="F22" s="3">
        <f>Ventes!E13</f>
        <v>1048</v>
      </c>
      <c r="G22" s="3">
        <f>Ventes!F13</f>
        <v>420</v>
      </c>
      <c r="H22" s="3">
        <f>Ventes!G13</f>
        <v>1433</v>
      </c>
      <c r="I22" s="3">
        <f>Ventes!H13</f>
        <v>0</v>
      </c>
      <c r="J22" s="3">
        <f>Ventes!I13</f>
        <v>949</v>
      </c>
      <c r="K22" s="3">
        <f>Ventes!J13</f>
        <v>0</v>
      </c>
      <c r="L22" s="3">
        <v>0</v>
      </c>
      <c r="M22" s="3">
        <v>0</v>
      </c>
      <c r="N22" s="3">
        <v>0</v>
      </c>
      <c r="O22" s="3">
        <v>0</v>
      </c>
    </row>
    <row r="23" spans="2:15" x14ac:dyDescent="0.35">
      <c r="B23" s="4">
        <v>2024</v>
      </c>
      <c r="C23" s="3" t="s">
        <v>18</v>
      </c>
      <c r="D23" s="3" t="s">
        <v>9</v>
      </c>
      <c r="E23" s="3">
        <f>Stock!D13</f>
        <v>7230</v>
      </c>
      <c r="F23" s="3">
        <f>Stock!E13</f>
        <v>2993</v>
      </c>
      <c r="G23" s="3">
        <f>Stock!F13</f>
        <v>14757</v>
      </c>
      <c r="H23" s="3">
        <f>Stock!G13</f>
        <v>7966</v>
      </c>
      <c r="I23" s="3">
        <f>Stock!H13</f>
        <v>0</v>
      </c>
      <c r="J23" s="3">
        <f>Stock!I13</f>
        <v>34107</v>
      </c>
      <c r="K23" s="3">
        <f>Stock!J13</f>
        <v>0</v>
      </c>
      <c r="L23" s="3">
        <v>0</v>
      </c>
      <c r="M23" s="3">
        <v>0</v>
      </c>
      <c r="N23" s="3">
        <v>0</v>
      </c>
      <c r="O23" s="3">
        <v>0</v>
      </c>
    </row>
    <row r="24" spans="2:15" x14ac:dyDescent="0.35">
      <c r="B24" s="4">
        <v>2024</v>
      </c>
      <c r="C24" s="3" t="s">
        <v>19</v>
      </c>
      <c r="D24" s="3" t="s">
        <v>8</v>
      </c>
      <c r="E24" s="3">
        <f>Ventes!D14</f>
        <v>1094</v>
      </c>
      <c r="F24" s="3">
        <f>Ventes!E14</f>
        <v>686</v>
      </c>
      <c r="G24" s="3">
        <f>Ventes!F14</f>
        <v>398</v>
      </c>
      <c r="H24" s="3">
        <f>Ventes!G14</f>
        <v>925</v>
      </c>
      <c r="I24" s="3">
        <f>Ventes!H14</f>
        <v>0</v>
      </c>
      <c r="J24" s="3">
        <f>Ventes!I14</f>
        <v>880</v>
      </c>
      <c r="K24" s="3">
        <f>Ventes!J14</f>
        <v>0</v>
      </c>
      <c r="L24" s="3">
        <v>0</v>
      </c>
      <c r="M24" s="3">
        <v>0</v>
      </c>
      <c r="N24" s="3">
        <v>0</v>
      </c>
      <c r="O24" s="3">
        <v>0</v>
      </c>
    </row>
    <row r="25" spans="2:15" x14ac:dyDescent="0.35">
      <c r="B25" s="4">
        <v>2024</v>
      </c>
      <c r="C25" s="3" t="s">
        <v>19</v>
      </c>
      <c r="D25" s="3" t="s">
        <v>9</v>
      </c>
      <c r="E25" s="3">
        <f>Stock!D14</f>
        <v>6136</v>
      </c>
      <c r="F25" s="3">
        <f>Stock!E14</f>
        <v>2307</v>
      </c>
      <c r="G25" s="3">
        <f>Stock!F14</f>
        <v>14359</v>
      </c>
      <c r="H25" s="3">
        <f>Stock!G14</f>
        <v>7041</v>
      </c>
      <c r="I25" s="3">
        <f>Stock!H14</f>
        <v>0</v>
      </c>
      <c r="J25" s="3">
        <f>Stock!I14</f>
        <v>33227</v>
      </c>
      <c r="K25" s="3">
        <f>Stock!J14</f>
        <v>0</v>
      </c>
      <c r="L25" s="3">
        <v>0</v>
      </c>
      <c r="M25" s="3">
        <v>0</v>
      </c>
      <c r="N25" s="3">
        <v>0</v>
      </c>
      <c r="O25" s="3">
        <v>0</v>
      </c>
    </row>
    <row r="26" spans="2:15" x14ac:dyDescent="0.35">
      <c r="B26" s="4">
        <v>2024</v>
      </c>
      <c r="C26" s="3" t="s">
        <v>20</v>
      </c>
      <c r="D26" s="3" t="s">
        <v>8</v>
      </c>
      <c r="E26" s="3">
        <f>Ventes!D15</f>
        <v>1114</v>
      </c>
      <c r="F26" s="3">
        <f>Ventes!E15</f>
        <v>943</v>
      </c>
      <c r="G26" s="3">
        <f>Ventes!F15</f>
        <v>670</v>
      </c>
      <c r="H26" s="3">
        <f>Ventes!G15</f>
        <v>1512</v>
      </c>
      <c r="I26" s="3">
        <f>Ventes!H15</f>
        <v>0</v>
      </c>
      <c r="J26" s="3">
        <f>Ventes!I15</f>
        <v>930</v>
      </c>
      <c r="K26" s="3">
        <f>Ventes!J15</f>
        <v>0</v>
      </c>
      <c r="L26" s="3">
        <v>0</v>
      </c>
      <c r="M26" s="3">
        <v>0</v>
      </c>
      <c r="N26" s="3">
        <v>0</v>
      </c>
      <c r="O26" s="3">
        <v>0</v>
      </c>
    </row>
    <row r="27" spans="2:15" x14ac:dyDescent="0.35">
      <c r="B27" s="4">
        <v>2024</v>
      </c>
      <c r="C27" s="3" t="s">
        <v>20</v>
      </c>
      <c r="D27" s="3" t="s">
        <v>9</v>
      </c>
      <c r="E27" s="3">
        <f>Stock!D15</f>
        <v>9022</v>
      </c>
      <c r="F27" s="3">
        <f>Stock!E15</f>
        <v>6864</v>
      </c>
      <c r="G27" s="3">
        <f>Stock!F15</f>
        <v>13689</v>
      </c>
      <c r="H27" s="3">
        <f>Stock!G15</f>
        <v>7949</v>
      </c>
      <c r="I27" s="3">
        <f>Stock!H15</f>
        <v>0</v>
      </c>
      <c r="J27" s="3">
        <f>Stock!I15</f>
        <v>32297</v>
      </c>
      <c r="K27" s="3">
        <f>Stock!J15</f>
        <v>0</v>
      </c>
      <c r="L27" s="3">
        <v>0</v>
      </c>
      <c r="M27" s="3">
        <v>0</v>
      </c>
      <c r="N27" s="3">
        <v>0</v>
      </c>
      <c r="O27" s="3">
        <v>0</v>
      </c>
    </row>
    <row r="28" spans="2:15" x14ac:dyDescent="0.35">
      <c r="B28" s="4">
        <v>2025</v>
      </c>
      <c r="C28" s="3" t="s">
        <v>7</v>
      </c>
      <c r="D28" s="3" t="s">
        <v>8</v>
      </c>
      <c r="E28" s="3">
        <f>Ventes!D16</f>
        <v>1063</v>
      </c>
      <c r="F28" s="3">
        <f>Ventes!E16</f>
        <v>976</v>
      </c>
      <c r="G28" s="3">
        <f>Ventes!F16</f>
        <v>205</v>
      </c>
      <c r="H28" s="3">
        <f>Ventes!G16</f>
        <v>1624</v>
      </c>
      <c r="I28" s="3">
        <f>Ventes!H16</f>
        <v>0</v>
      </c>
      <c r="J28" s="3">
        <f>Ventes!I16</f>
        <v>963</v>
      </c>
      <c r="K28" s="3">
        <f>Ventes!J16</f>
        <v>0</v>
      </c>
      <c r="L28" s="3">
        <v>0</v>
      </c>
      <c r="M28" s="3">
        <v>0</v>
      </c>
      <c r="N28" s="3">
        <v>0</v>
      </c>
      <c r="O28" s="3">
        <v>0</v>
      </c>
    </row>
    <row r="29" spans="2:15" x14ac:dyDescent="0.35">
      <c r="B29" s="4">
        <v>2025</v>
      </c>
      <c r="C29" s="3" t="s">
        <v>7</v>
      </c>
      <c r="D29" s="3" t="s">
        <v>9</v>
      </c>
      <c r="E29" s="3">
        <f>Stock!D16</f>
        <v>7959</v>
      </c>
      <c r="F29" s="3">
        <f>Stock!E16</f>
        <v>9017</v>
      </c>
      <c r="G29" s="3">
        <f>Stock!F16</f>
        <v>18478</v>
      </c>
      <c r="H29" s="3">
        <f>Stock!G16</f>
        <v>7954</v>
      </c>
      <c r="I29" s="3">
        <f>Stock!H16</f>
        <v>0</v>
      </c>
      <c r="J29" s="3">
        <f>Stock!I16</f>
        <v>31334</v>
      </c>
      <c r="K29" s="3">
        <f>Stock!J16</f>
        <v>0</v>
      </c>
      <c r="L29" s="3">
        <v>0</v>
      </c>
      <c r="M29" s="3">
        <v>0</v>
      </c>
      <c r="N29" s="3">
        <v>0</v>
      </c>
      <c r="O29" s="3">
        <v>0</v>
      </c>
    </row>
    <row r="30" spans="2:15" x14ac:dyDescent="0.35">
      <c r="B30" s="4">
        <v>2025</v>
      </c>
      <c r="C30" s="3" t="s">
        <v>10</v>
      </c>
      <c r="D30" s="3" t="s">
        <v>8</v>
      </c>
      <c r="E30" s="3">
        <f>Ventes!D17</f>
        <v>315</v>
      </c>
      <c r="F30" s="3">
        <f>Ventes!E17</f>
        <v>337</v>
      </c>
      <c r="G30" s="3">
        <f>Ventes!F17</f>
        <v>168</v>
      </c>
      <c r="H30" s="3">
        <f>Ventes!G17</f>
        <v>619</v>
      </c>
      <c r="I30" s="3">
        <f>Ventes!H17</f>
        <v>0</v>
      </c>
      <c r="J30" s="3">
        <f>Ventes!I17</f>
        <v>905</v>
      </c>
      <c r="K30" s="3">
        <f>Ventes!J17</f>
        <v>0</v>
      </c>
      <c r="L30" s="3">
        <v>0</v>
      </c>
      <c r="M30" s="3">
        <v>0</v>
      </c>
      <c r="N30" s="3">
        <v>0</v>
      </c>
      <c r="O30" s="3">
        <v>0</v>
      </c>
    </row>
    <row r="31" spans="2:15" x14ac:dyDescent="0.35">
      <c r="B31" s="4">
        <v>2025</v>
      </c>
      <c r="C31" s="3" t="s">
        <v>10</v>
      </c>
      <c r="D31" s="3" t="s">
        <v>9</v>
      </c>
      <c r="E31" s="3">
        <f>Stock!D17</f>
        <v>10144</v>
      </c>
      <c r="F31" s="3">
        <f>Stock!E17</f>
        <v>9680</v>
      </c>
      <c r="G31" s="3">
        <f>Stock!F17</f>
        <v>18310</v>
      </c>
      <c r="H31" s="3">
        <f>Stock!G17</f>
        <v>7335</v>
      </c>
      <c r="I31" s="3">
        <f>Stock!H17</f>
        <v>0</v>
      </c>
      <c r="J31" s="3">
        <f>Stock!I17</f>
        <v>30429</v>
      </c>
      <c r="K31" s="3">
        <f>Stock!J17</f>
        <v>0</v>
      </c>
      <c r="L31" s="3">
        <v>0</v>
      </c>
      <c r="M31" s="3">
        <v>0</v>
      </c>
      <c r="N31" s="3">
        <v>0</v>
      </c>
      <c r="O31" s="3">
        <v>0</v>
      </c>
    </row>
    <row r="32" spans="2:15" x14ac:dyDescent="0.35">
      <c r="B32" s="4">
        <v>2025</v>
      </c>
      <c r="C32" s="3" t="s">
        <v>11</v>
      </c>
      <c r="D32" s="3" t="s">
        <v>8</v>
      </c>
      <c r="E32" s="3">
        <f>Ventes!D18</f>
        <v>1138</v>
      </c>
      <c r="F32" s="3">
        <f>Ventes!E18</f>
        <v>959</v>
      </c>
      <c r="G32" s="3">
        <f>Ventes!F18</f>
        <v>179</v>
      </c>
      <c r="H32" s="3">
        <f>Ventes!G18</f>
        <v>1493</v>
      </c>
      <c r="I32" s="3">
        <f>Ventes!H18</f>
        <v>0</v>
      </c>
      <c r="J32" s="3">
        <f>Ventes!I18</f>
        <v>1109</v>
      </c>
      <c r="K32" s="3">
        <f>Ventes!J18</f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35">
      <c r="B33" s="4">
        <v>2025</v>
      </c>
      <c r="C33" s="3" t="s">
        <v>11</v>
      </c>
      <c r="D33" s="3" t="s">
        <v>9</v>
      </c>
      <c r="E33" s="3">
        <f>Stock!D18</f>
        <v>9006</v>
      </c>
      <c r="F33" s="3">
        <f>Stock!E18</f>
        <v>13088</v>
      </c>
      <c r="G33" s="3">
        <f>Stock!F18</f>
        <v>18131</v>
      </c>
      <c r="H33" s="3">
        <f>Stock!G18</f>
        <v>5842</v>
      </c>
      <c r="I33" s="3">
        <f>Stock!H18</f>
        <v>0</v>
      </c>
      <c r="J33" s="3">
        <f>Stock!I18</f>
        <v>29310</v>
      </c>
      <c r="K33" s="3">
        <f>Stock!J18</f>
        <v>0</v>
      </c>
      <c r="L33" s="3">
        <v>0</v>
      </c>
      <c r="M33" s="3">
        <v>0</v>
      </c>
      <c r="N33" s="3">
        <v>0</v>
      </c>
      <c r="O33" s="3">
        <v>0</v>
      </c>
    </row>
    <row r="34" spans="2:15" x14ac:dyDescent="0.35">
      <c r="B34" s="4">
        <v>2025</v>
      </c>
      <c r="C34" s="3" t="s">
        <v>12</v>
      </c>
      <c r="D34" s="3" t="s">
        <v>8</v>
      </c>
      <c r="E34" s="3">
        <f>Ventes!D19</f>
        <v>898</v>
      </c>
      <c r="F34" s="3">
        <f>Ventes!E19</f>
        <v>717</v>
      </c>
      <c r="G34" s="3">
        <f>Ventes!F19</f>
        <v>336</v>
      </c>
      <c r="H34" s="3">
        <f>Ventes!G19</f>
        <v>1286</v>
      </c>
      <c r="I34" s="3">
        <f>Ventes!H19</f>
        <v>0</v>
      </c>
      <c r="J34" s="3">
        <f>Ventes!I19</f>
        <v>1049</v>
      </c>
      <c r="K34" s="3">
        <f>Ventes!J19</f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35">
      <c r="B35" s="4">
        <v>2025</v>
      </c>
      <c r="C35" s="3" t="s">
        <v>12</v>
      </c>
      <c r="D35" s="3" t="s">
        <v>9</v>
      </c>
      <c r="E35" s="3">
        <f>Stock!D19</f>
        <v>8108</v>
      </c>
      <c r="F35" s="3">
        <f>Stock!E19</f>
        <v>12371</v>
      </c>
      <c r="G35" s="3">
        <f>Stock!F19</f>
        <v>17795</v>
      </c>
      <c r="H35" s="3">
        <f>Stock!G19</f>
        <v>7306</v>
      </c>
      <c r="I35" s="3">
        <f>Stock!H19</f>
        <v>0</v>
      </c>
      <c r="J35" s="3">
        <f>Stock!I19</f>
        <v>28271</v>
      </c>
      <c r="K35" s="3">
        <f>Stock!J19</f>
        <v>0</v>
      </c>
      <c r="L35" s="3">
        <v>0</v>
      </c>
      <c r="M35" s="3">
        <v>0</v>
      </c>
      <c r="N35" s="3">
        <v>0</v>
      </c>
      <c r="O35" s="3">
        <v>0</v>
      </c>
    </row>
    <row r="36" spans="2:15" x14ac:dyDescent="0.35">
      <c r="B36" s="4">
        <v>2025</v>
      </c>
      <c r="C36" s="3" t="s">
        <v>13</v>
      </c>
      <c r="D36" s="3" t="s">
        <v>8</v>
      </c>
      <c r="E36" s="3">
        <f>Ventes!D20</f>
        <v>740</v>
      </c>
      <c r="F36" s="3">
        <f>Ventes!E20</f>
        <v>1067</v>
      </c>
      <c r="G36" s="3">
        <f>Ventes!F20</f>
        <v>519</v>
      </c>
      <c r="H36" s="3">
        <f>Ventes!G20</f>
        <v>943</v>
      </c>
      <c r="I36" s="3">
        <f>Ventes!H20</f>
        <v>0</v>
      </c>
      <c r="J36" s="3">
        <f>Ventes!I20</f>
        <v>1145</v>
      </c>
      <c r="K36" s="3">
        <f>Ventes!J20</f>
        <v>0</v>
      </c>
      <c r="L36" s="3">
        <v>0</v>
      </c>
      <c r="M36" s="3">
        <v>0</v>
      </c>
      <c r="N36" s="3">
        <v>0</v>
      </c>
      <c r="O36" s="3">
        <v>0</v>
      </c>
    </row>
    <row r="37" spans="2:15" x14ac:dyDescent="0.35">
      <c r="B37" s="4">
        <v>2025</v>
      </c>
      <c r="C37" s="3" t="s">
        <v>13</v>
      </c>
      <c r="D37" s="3" t="s">
        <v>9</v>
      </c>
      <c r="E37" s="3">
        <f>Stock!D20</f>
        <v>7368</v>
      </c>
      <c r="F37" s="3">
        <f>Stock!E20</f>
        <v>11304</v>
      </c>
      <c r="G37" s="3">
        <f>Stock!F20</f>
        <v>17276</v>
      </c>
      <c r="H37" s="3">
        <f>Stock!G20</f>
        <v>6363</v>
      </c>
      <c r="I37" s="3">
        <f>Stock!H20</f>
        <v>0</v>
      </c>
      <c r="J37" s="3">
        <f>Stock!I20</f>
        <v>27126</v>
      </c>
      <c r="K37" s="3">
        <f>Stock!J20</f>
        <v>0</v>
      </c>
      <c r="L37" s="3">
        <v>0</v>
      </c>
      <c r="M37" s="3">
        <v>0</v>
      </c>
      <c r="N37" s="3">
        <v>0</v>
      </c>
      <c r="O37" s="3">
        <v>0</v>
      </c>
    </row>
    <row r="38" spans="2:15" x14ac:dyDescent="0.35">
      <c r="B38" s="4">
        <v>2025</v>
      </c>
      <c r="C38" s="3" t="s">
        <v>14</v>
      </c>
      <c r="D38" s="3" t="s">
        <v>8</v>
      </c>
      <c r="E38" s="3">
        <f>Ventes!D21</f>
        <v>768</v>
      </c>
      <c r="F38" s="3">
        <f>Ventes!E21</f>
        <v>826</v>
      </c>
      <c r="G38" s="3">
        <f>Ventes!F21</f>
        <v>265</v>
      </c>
      <c r="H38" s="3">
        <f>Ventes!G21</f>
        <v>1246</v>
      </c>
      <c r="I38" s="3">
        <f>Ventes!H21</f>
        <v>0</v>
      </c>
      <c r="J38" s="3">
        <f>Ventes!I21</f>
        <v>839</v>
      </c>
      <c r="K38" s="3">
        <f>Ventes!J21</f>
        <v>0</v>
      </c>
      <c r="L38" s="3">
        <v>0</v>
      </c>
      <c r="M38" s="3">
        <v>0</v>
      </c>
      <c r="N38" s="3">
        <v>0</v>
      </c>
      <c r="O38" s="3">
        <v>0</v>
      </c>
    </row>
    <row r="39" spans="2:15" x14ac:dyDescent="0.35">
      <c r="B39" s="4">
        <v>2025</v>
      </c>
      <c r="C39" s="3" t="s">
        <v>14</v>
      </c>
      <c r="D39" s="3" t="s">
        <v>9</v>
      </c>
      <c r="E39" s="3">
        <f>Stock!D21</f>
        <v>9350</v>
      </c>
      <c r="F39" s="3">
        <f>Stock!E21</f>
        <v>12248</v>
      </c>
      <c r="G39" s="3">
        <f>Stock!F21</f>
        <v>17011</v>
      </c>
      <c r="H39" s="3">
        <f>Stock!G21</f>
        <v>11228</v>
      </c>
      <c r="I39" s="3">
        <f>Stock!H21</f>
        <v>0</v>
      </c>
      <c r="J39" s="3">
        <f>Stock!I21</f>
        <v>26287</v>
      </c>
      <c r="K39" s="3">
        <f>Stock!J21</f>
        <v>0</v>
      </c>
      <c r="L39" s="3">
        <v>0</v>
      </c>
      <c r="M39" s="3">
        <v>0</v>
      </c>
      <c r="N39" s="3">
        <v>0</v>
      </c>
      <c r="O39" s="3">
        <v>0</v>
      </c>
    </row>
    <row r="40" spans="2:15" x14ac:dyDescent="0.35">
      <c r="B40" s="4">
        <v>2025</v>
      </c>
      <c r="C40" s="3" t="s">
        <v>15</v>
      </c>
      <c r="D40" s="3" t="s">
        <v>8</v>
      </c>
      <c r="E40" s="3">
        <f>Ventes!D22</f>
        <v>975</v>
      </c>
      <c r="F40" s="3">
        <f>Ventes!E22</f>
        <v>658</v>
      </c>
      <c r="G40" s="3">
        <f>Ventes!F22</f>
        <v>433</v>
      </c>
      <c r="H40" s="3">
        <f>Ventes!G22</f>
        <v>1024</v>
      </c>
      <c r="I40" s="3">
        <f>Ventes!H22</f>
        <v>0</v>
      </c>
      <c r="J40" s="3">
        <f>Ventes!I22</f>
        <v>1210</v>
      </c>
      <c r="K40" s="3">
        <f>Ventes!J22</f>
        <v>0</v>
      </c>
      <c r="L40" s="3">
        <v>0</v>
      </c>
      <c r="M40" s="3">
        <v>0</v>
      </c>
      <c r="N40" s="3">
        <v>0</v>
      </c>
      <c r="O40" s="3">
        <v>0</v>
      </c>
    </row>
    <row r="41" spans="2:15" x14ac:dyDescent="0.35">
      <c r="B41" s="4">
        <v>2025</v>
      </c>
      <c r="C41" s="3" t="s">
        <v>15</v>
      </c>
      <c r="D41" s="3" t="s">
        <v>9</v>
      </c>
      <c r="E41" s="3">
        <f>Stock!D22</f>
        <v>8375</v>
      </c>
      <c r="F41" s="3">
        <f>Stock!E22</f>
        <v>11590</v>
      </c>
      <c r="G41" s="3">
        <f>Stock!F22</f>
        <v>16578</v>
      </c>
      <c r="H41" s="3">
        <f>Stock!G22</f>
        <v>10204</v>
      </c>
      <c r="I41" s="3">
        <f>Stock!H22</f>
        <v>2000</v>
      </c>
      <c r="J41" s="3">
        <f>Stock!I22</f>
        <v>25077</v>
      </c>
      <c r="K41" s="3">
        <f>Stock!J22</f>
        <v>0</v>
      </c>
      <c r="L41" s="3">
        <v>0</v>
      </c>
      <c r="M41" s="3">
        <v>0</v>
      </c>
      <c r="N41" s="3">
        <v>0</v>
      </c>
      <c r="O41" s="3">
        <v>0</v>
      </c>
    </row>
    <row r="42" spans="2:15" x14ac:dyDescent="0.35">
      <c r="B42" s="4">
        <v>2025</v>
      </c>
      <c r="C42" s="3" t="s">
        <v>16</v>
      </c>
      <c r="D42" s="3" t="s">
        <v>8</v>
      </c>
      <c r="E42" s="3">
        <f>Ventes!D23</f>
        <v>1322</v>
      </c>
      <c r="F42" s="3">
        <f>Ventes!E23</f>
        <v>1057</v>
      </c>
      <c r="G42" s="3">
        <f>Ventes!F23</f>
        <v>340</v>
      </c>
      <c r="H42" s="3">
        <f>Ventes!G23</f>
        <v>1332</v>
      </c>
      <c r="I42" s="3">
        <f>Ventes!H23</f>
        <v>622</v>
      </c>
      <c r="J42" s="3">
        <f>Ventes!I23</f>
        <v>730</v>
      </c>
      <c r="K42" s="3">
        <f>Ventes!J23</f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35">
      <c r="B43" s="4">
        <v>2025</v>
      </c>
      <c r="C43" s="3" t="s">
        <v>16</v>
      </c>
      <c r="D43" s="3" t="s">
        <v>9</v>
      </c>
      <c r="E43" s="3">
        <f>Stock!D23</f>
        <v>7053</v>
      </c>
      <c r="F43" s="3">
        <f>Stock!E23</f>
        <v>10533</v>
      </c>
      <c r="G43" s="3">
        <f>Stock!F23</f>
        <v>16238</v>
      </c>
      <c r="H43" s="3">
        <f>Stock!G23</f>
        <v>8872</v>
      </c>
      <c r="I43" s="3">
        <f>Stock!H23</f>
        <v>1378</v>
      </c>
      <c r="J43" s="3">
        <f>Stock!I23</f>
        <v>24347</v>
      </c>
      <c r="K43" s="3">
        <f>Stock!J23</f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35">
      <c r="B44" s="4">
        <v>2025</v>
      </c>
      <c r="C44" s="3" t="s">
        <v>17</v>
      </c>
      <c r="D44" s="3" t="s">
        <v>8</v>
      </c>
      <c r="E44" s="3">
        <f>Ventes!D24</f>
        <v>748</v>
      </c>
      <c r="F44" s="3">
        <f>Ventes!E24</f>
        <v>931</v>
      </c>
      <c r="G44" s="3">
        <f>Ventes!F24</f>
        <v>374</v>
      </c>
      <c r="H44" s="3">
        <f>Ventes!G24</f>
        <v>1273</v>
      </c>
      <c r="I44" s="3">
        <f>Ventes!H24</f>
        <v>1214</v>
      </c>
      <c r="J44" s="3">
        <f>Ventes!I24</f>
        <v>163</v>
      </c>
      <c r="K44" s="3">
        <f>Ventes!J24</f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35">
      <c r="B45" s="4">
        <v>2025</v>
      </c>
      <c r="C45" s="3" t="s">
        <v>17</v>
      </c>
      <c r="D45" s="3" t="s">
        <v>9</v>
      </c>
      <c r="E45" s="3">
        <f>Stock!D24</f>
        <v>10145</v>
      </c>
      <c r="F45" s="3">
        <f>Stock!E24</f>
        <v>9602</v>
      </c>
      <c r="G45" s="3">
        <f>Stock!F24</f>
        <v>15864</v>
      </c>
      <c r="H45" s="3">
        <f>Stock!G24</f>
        <v>9903</v>
      </c>
      <c r="I45" s="3">
        <f>Stock!H24</f>
        <v>8588</v>
      </c>
      <c r="J45" s="3">
        <f>Stock!I24</f>
        <v>23040</v>
      </c>
      <c r="K45" s="3">
        <f>Stock!J24</f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35">
      <c r="B46" s="4">
        <v>2025</v>
      </c>
      <c r="C46" s="3" t="s">
        <v>18</v>
      </c>
      <c r="D46" s="3" t="s">
        <v>8</v>
      </c>
      <c r="E46" s="3">
        <f>Ventes!D25</f>
        <v>1272</v>
      </c>
      <c r="F46" s="3">
        <f>Ventes!E25</f>
        <v>991</v>
      </c>
      <c r="G46" s="3">
        <f>Ventes!F25</f>
        <v>381</v>
      </c>
      <c r="H46" s="3">
        <f>Ventes!G25</f>
        <v>1526</v>
      </c>
      <c r="I46" s="3">
        <f>Ventes!H25</f>
        <v>1833</v>
      </c>
      <c r="J46" s="3">
        <f>Ventes!I25</f>
        <v>93</v>
      </c>
      <c r="K46" s="3">
        <f>Ventes!J25</f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35">
      <c r="B47" s="4">
        <v>2025</v>
      </c>
      <c r="C47" s="3" t="s">
        <v>18</v>
      </c>
      <c r="D47" s="3" t="s">
        <v>9</v>
      </c>
      <c r="E47" s="3">
        <f>Stock!D25</f>
        <v>8873</v>
      </c>
      <c r="F47" s="3">
        <f>Stock!E25</f>
        <v>8611</v>
      </c>
      <c r="G47" s="3">
        <f>Stock!F25</f>
        <v>15483</v>
      </c>
      <c r="H47" s="3">
        <f>Stock!G25</f>
        <v>11073</v>
      </c>
      <c r="I47" s="3">
        <f>Stock!H25</f>
        <v>6750</v>
      </c>
      <c r="J47" s="3">
        <f>Stock!I25</f>
        <v>22947</v>
      </c>
      <c r="K47" s="3">
        <f>Stock!J25</f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35">
      <c r="B48" s="4">
        <v>2025</v>
      </c>
      <c r="C48" s="3" t="s">
        <v>19</v>
      </c>
      <c r="D48" s="3" t="s">
        <v>8</v>
      </c>
      <c r="E48" s="3">
        <f>Ventes!D26</f>
        <v>996</v>
      </c>
      <c r="F48" s="3">
        <f>Ventes!E26</f>
        <v>1009</v>
      </c>
      <c r="G48" s="3">
        <f>Ventes!F26</f>
        <v>449</v>
      </c>
      <c r="H48" s="3">
        <f>Ventes!G26</f>
        <v>1272</v>
      </c>
      <c r="I48" s="3">
        <f>Ventes!H26</f>
        <v>1632</v>
      </c>
      <c r="J48" s="3">
        <f>Ventes!I26</f>
        <v>42</v>
      </c>
      <c r="K48" s="3">
        <f>Ventes!J26</f>
        <v>0</v>
      </c>
      <c r="L48" s="3">
        <v>0</v>
      </c>
      <c r="M48" s="3">
        <v>0</v>
      </c>
      <c r="N48" s="3">
        <v>0</v>
      </c>
      <c r="O48" s="3">
        <v>0</v>
      </c>
    </row>
    <row r="49" spans="2:15" x14ac:dyDescent="0.35">
      <c r="B49" s="4">
        <v>2025</v>
      </c>
      <c r="C49" s="3" t="s">
        <v>19</v>
      </c>
      <c r="D49" s="3" t="s">
        <v>9</v>
      </c>
      <c r="E49" s="3">
        <f>Stock!D26</f>
        <v>7877</v>
      </c>
      <c r="F49" s="3">
        <f>Stock!E26</f>
        <v>7602</v>
      </c>
      <c r="G49" s="3">
        <f>Stock!F26</f>
        <v>15034</v>
      </c>
      <c r="H49" s="3">
        <f>Stock!G26</f>
        <v>9801</v>
      </c>
      <c r="I49" s="3">
        <f>Stock!H26</f>
        <v>18666</v>
      </c>
      <c r="J49" s="3">
        <f>Stock!I26</f>
        <v>0</v>
      </c>
      <c r="K49" s="3">
        <f>Stock!J26</f>
        <v>0</v>
      </c>
      <c r="L49" s="3">
        <v>0</v>
      </c>
      <c r="M49" s="3">
        <v>0</v>
      </c>
      <c r="N49" s="3">
        <v>0</v>
      </c>
      <c r="O49" s="3">
        <v>0</v>
      </c>
    </row>
    <row r="50" spans="2:15" x14ac:dyDescent="0.35">
      <c r="B50" s="4">
        <v>2025</v>
      </c>
      <c r="C50" s="3" t="s">
        <v>20</v>
      </c>
      <c r="D50" s="3" t="s">
        <v>8</v>
      </c>
      <c r="E50" s="3">
        <f>Ventes!D27</f>
        <v>838</v>
      </c>
      <c r="F50" s="3">
        <f>Ventes!E27</f>
        <v>737</v>
      </c>
      <c r="G50" s="3">
        <f>Ventes!F27</f>
        <v>296</v>
      </c>
      <c r="H50" s="3">
        <f>Ventes!G27</f>
        <v>952</v>
      </c>
      <c r="I50" s="3">
        <f>Ventes!H27</f>
        <v>1196</v>
      </c>
      <c r="J50" s="3">
        <f>Ventes!I27</f>
        <v>0</v>
      </c>
      <c r="K50" s="3">
        <f>Ventes!J27</f>
        <v>0</v>
      </c>
      <c r="L50" s="3">
        <v>0</v>
      </c>
      <c r="M50" s="3">
        <v>0</v>
      </c>
      <c r="N50" s="3">
        <v>0</v>
      </c>
      <c r="O50" s="3">
        <v>0</v>
      </c>
    </row>
    <row r="51" spans="2:15" x14ac:dyDescent="0.35">
      <c r="B51" s="4">
        <v>2025</v>
      </c>
      <c r="C51" s="3" t="s">
        <v>20</v>
      </c>
      <c r="D51" s="3" t="s">
        <v>9</v>
      </c>
      <c r="E51" s="3">
        <f>Stock!D27</f>
        <v>7039</v>
      </c>
      <c r="F51" s="3">
        <f>Stock!E27</f>
        <v>6865</v>
      </c>
      <c r="G51" s="3">
        <f>Stock!F27</f>
        <v>14738</v>
      </c>
      <c r="H51" s="3">
        <f>Stock!G27</f>
        <v>8837</v>
      </c>
      <c r="I51" s="3">
        <f>Stock!H27</f>
        <v>17470</v>
      </c>
      <c r="J51" s="3">
        <f>Stock!I27</f>
        <v>0</v>
      </c>
      <c r="K51" s="3">
        <f>Stock!J27</f>
        <v>0</v>
      </c>
      <c r="L51" s="3">
        <v>0</v>
      </c>
      <c r="M51" s="3">
        <v>0</v>
      </c>
      <c r="N51" s="3">
        <v>0</v>
      </c>
      <c r="O51" s="3">
        <v>0</v>
      </c>
    </row>
    <row r="52" spans="2:15" x14ac:dyDescent="0.35">
      <c r="B52" s="4">
        <v>2026</v>
      </c>
      <c r="C52" s="3" t="s">
        <v>7</v>
      </c>
      <c r="D52" s="3" t="s">
        <v>8</v>
      </c>
      <c r="E52" s="3">
        <f>Ventes!D28</f>
        <v>1204</v>
      </c>
      <c r="F52" s="3">
        <f>Ventes!E28</f>
        <v>1136</v>
      </c>
      <c r="G52" s="3">
        <f>Ventes!F28</f>
        <v>313</v>
      </c>
      <c r="H52" s="3">
        <f>Ventes!G28</f>
        <v>1349</v>
      </c>
      <c r="I52" s="3">
        <f>Ventes!H28</f>
        <v>1691</v>
      </c>
      <c r="J52" s="3">
        <f>Ventes!I28</f>
        <v>0</v>
      </c>
      <c r="K52" s="3">
        <f>Ventes!J28</f>
        <v>0</v>
      </c>
      <c r="L52" s="3">
        <v>0</v>
      </c>
      <c r="M52" s="3">
        <v>0</v>
      </c>
      <c r="N52" s="3">
        <v>0</v>
      </c>
      <c r="O52" s="3">
        <v>0</v>
      </c>
    </row>
    <row r="53" spans="2:15" x14ac:dyDescent="0.35">
      <c r="B53" s="4">
        <v>2026</v>
      </c>
      <c r="C53" s="3" t="s">
        <v>7</v>
      </c>
      <c r="D53" s="3" t="s">
        <v>9</v>
      </c>
      <c r="E53" s="3">
        <f>Stock!D28</f>
        <v>5835</v>
      </c>
      <c r="F53" s="3">
        <f>Stock!E28</f>
        <v>5729</v>
      </c>
      <c r="G53" s="3">
        <f>Stock!F28</f>
        <v>14425</v>
      </c>
      <c r="H53" s="3">
        <f>Stock!G28</f>
        <v>7488</v>
      </c>
      <c r="I53" s="3">
        <f>Stock!H28</f>
        <v>15779</v>
      </c>
      <c r="J53" s="3">
        <f>Stock!I28</f>
        <v>0</v>
      </c>
      <c r="K53" s="3">
        <f>Stock!J28</f>
        <v>960</v>
      </c>
      <c r="L53" s="3">
        <v>0</v>
      </c>
      <c r="M53" s="3">
        <v>0</v>
      </c>
      <c r="N53" s="3">
        <v>0</v>
      </c>
      <c r="O53" s="3">
        <v>0</v>
      </c>
    </row>
    <row r="54" spans="2:15" x14ac:dyDescent="0.35">
      <c r="B54" s="4">
        <v>2026</v>
      </c>
      <c r="C54" s="3" t="s">
        <v>10</v>
      </c>
      <c r="D54" s="3" t="s">
        <v>8</v>
      </c>
      <c r="E54" s="3">
        <f>Ventes!D29</f>
        <v>1042</v>
      </c>
      <c r="F54" s="3">
        <f>Ventes!E29</f>
        <v>744</v>
      </c>
      <c r="G54" s="3">
        <f>Ventes!F29</f>
        <v>378</v>
      </c>
      <c r="H54" s="3">
        <f>Ventes!G29</f>
        <v>1471</v>
      </c>
      <c r="I54" s="3">
        <f>Ventes!H29</f>
        <v>1190</v>
      </c>
      <c r="J54" s="3">
        <f>Ventes!I29</f>
        <v>0</v>
      </c>
      <c r="K54" s="3">
        <f>Ventes!J29</f>
        <v>0</v>
      </c>
      <c r="L54" s="3">
        <v>0</v>
      </c>
      <c r="M54" s="3">
        <v>0</v>
      </c>
      <c r="N54" s="3">
        <v>0</v>
      </c>
      <c r="O54" s="3">
        <v>0</v>
      </c>
    </row>
    <row r="55" spans="2:15" x14ac:dyDescent="0.35">
      <c r="B55" s="4">
        <v>2026</v>
      </c>
      <c r="C55" s="3" t="s">
        <v>10</v>
      </c>
      <c r="D55" s="3" t="s">
        <v>9</v>
      </c>
      <c r="E55" s="3">
        <f>Stock!D29</f>
        <v>4793</v>
      </c>
      <c r="F55" s="3">
        <f>Stock!E29</f>
        <v>4985</v>
      </c>
      <c r="G55" s="3">
        <f>Stock!F29</f>
        <v>14047</v>
      </c>
      <c r="H55" s="3">
        <f>Stock!G29</f>
        <v>6017</v>
      </c>
      <c r="I55" s="3">
        <f>Stock!H29</f>
        <v>14589</v>
      </c>
      <c r="J55" s="3">
        <f>Stock!I29</f>
        <v>0</v>
      </c>
      <c r="K55" s="3">
        <f>Stock!J29</f>
        <v>1999</v>
      </c>
      <c r="L55" s="3">
        <v>0</v>
      </c>
      <c r="M55" s="3">
        <v>0</v>
      </c>
      <c r="N55" s="3">
        <v>0</v>
      </c>
      <c r="O55" s="3">
        <v>0</v>
      </c>
    </row>
    <row r="56" spans="2:15" x14ac:dyDescent="0.35">
      <c r="B56" s="4">
        <v>2026</v>
      </c>
      <c r="C56" s="3" t="s">
        <v>11</v>
      </c>
      <c r="D56" s="3" t="s">
        <v>8</v>
      </c>
      <c r="E56">
        <f>Ventes!D30</f>
        <v>1369</v>
      </c>
      <c r="F56">
        <f>Ventes!E30</f>
        <v>987</v>
      </c>
      <c r="G56">
        <f>Ventes!F30</f>
        <v>436</v>
      </c>
      <c r="H56">
        <f>Ventes!G30</f>
        <v>1335</v>
      </c>
      <c r="I56">
        <f>Ventes!H30</f>
        <v>1483</v>
      </c>
      <c r="J56">
        <f>Ventes!I30</f>
        <v>0</v>
      </c>
      <c r="K56">
        <f>Ventes!J30</f>
        <v>5</v>
      </c>
      <c r="L56">
        <f>Ventes!K30</f>
        <v>0</v>
      </c>
      <c r="M56">
        <f>Ventes!L30</f>
        <v>0</v>
      </c>
      <c r="N56">
        <f>Ventes!M30</f>
        <v>0</v>
      </c>
      <c r="O56">
        <f>Ventes!N30</f>
        <v>0</v>
      </c>
    </row>
    <row r="57" spans="2:15" x14ac:dyDescent="0.35">
      <c r="B57" s="4">
        <v>2026</v>
      </c>
      <c r="C57" s="3" t="s">
        <v>11</v>
      </c>
      <c r="D57" s="3" t="s">
        <v>9</v>
      </c>
      <c r="E57" s="3">
        <f>Stock!D30</f>
        <v>3424</v>
      </c>
      <c r="F57" s="3">
        <f>Stock!E30</f>
        <v>3998</v>
      </c>
      <c r="G57" s="3">
        <f>Stock!F30</f>
        <v>13611</v>
      </c>
      <c r="H57" s="3">
        <f>Stock!G30</f>
        <v>4682</v>
      </c>
      <c r="I57" s="3">
        <f>Stock!H30</f>
        <v>13106</v>
      </c>
      <c r="J57" s="3">
        <f>Stock!I30</f>
        <v>0</v>
      </c>
      <c r="K57" s="3">
        <f>Stock!J30</f>
        <v>1994</v>
      </c>
      <c r="L57" s="3">
        <f>Stock!K30</f>
        <v>0</v>
      </c>
      <c r="M57" s="3">
        <f>Stock!L30</f>
        <v>0</v>
      </c>
      <c r="N57" s="3">
        <f>Stock!M30</f>
        <v>0</v>
      </c>
      <c r="O57" s="3">
        <f>Stock!N30</f>
        <v>0</v>
      </c>
    </row>
    <row r="58" spans="2:15" x14ac:dyDescent="0.35">
      <c r="B58" s="4">
        <v>2026</v>
      </c>
      <c r="C58" s="3" t="s">
        <v>12</v>
      </c>
      <c r="D58" s="3" t="s">
        <v>8</v>
      </c>
      <c r="E58">
        <f>Ventes!D31</f>
        <v>658</v>
      </c>
      <c r="F58">
        <f>Ventes!E31</f>
        <v>856</v>
      </c>
      <c r="G58">
        <f>Ventes!F31</f>
        <v>311</v>
      </c>
      <c r="H58">
        <f>Ventes!G31</f>
        <v>922</v>
      </c>
      <c r="I58">
        <f>Ventes!H31</f>
        <v>1700</v>
      </c>
      <c r="J58">
        <f>Ventes!I31</f>
        <v>0</v>
      </c>
      <c r="K58">
        <f>Ventes!J31</f>
        <v>17</v>
      </c>
      <c r="L58">
        <f>Ventes!K31</f>
        <v>0</v>
      </c>
      <c r="M58">
        <f>Ventes!L31</f>
        <v>0</v>
      </c>
      <c r="N58">
        <f>Ventes!M31</f>
        <v>0</v>
      </c>
      <c r="O58">
        <f>Ventes!N31</f>
        <v>0</v>
      </c>
    </row>
    <row r="59" spans="2:15" x14ac:dyDescent="0.35">
      <c r="B59" s="4">
        <v>2026</v>
      </c>
      <c r="C59" s="3" t="s">
        <v>12</v>
      </c>
      <c r="D59" s="3" t="s">
        <v>9</v>
      </c>
      <c r="E59">
        <f>Stock!D31</f>
        <v>5166</v>
      </c>
      <c r="F59">
        <f>Stock!E31</f>
        <v>3142</v>
      </c>
      <c r="G59">
        <f>Stock!F31</f>
        <v>13300</v>
      </c>
      <c r="H59">
        <f>Stock!G31</f>
        <v>3760</v>
      </c>
      <c r="I59">
        <f>Stock!H31</f>
        <v>11406</v>
      </c>
      <c r="J59">
        <f>Stock!I31</f>
        <v>0</v>
      </c>
      <c r="K59">
        <f>Stock!J31</f>
        <v>1977</v>
      </c>
      <c r="L59">
        <f>Stock!K31</f>
        <v>0</v>
      </c>
      <c r="M59">
        <f>Stock!L31</f>
        <v>0</v>
      </c>
      <c r="N59">
        <f>Stock!M31</f>
        <v>0</v>
      </c>
      <c r="O59">
        <f>Stock!N31</f>
        <v>0</v>
      </c>
    </row>
    <row r="60" spans="2:15" x14ac:dyDescent="0.35">
      <c r="B60" s="4">
        <v>2026</v>
      </c>
      <c r="C60" s="3" t="s">
        <v>13</v>
      </c>
      <c r="D60" s="3" t="s">
        <v>8</v>
      </c>
      <c r="E60">
        <f>Ventes!D32</f>
        <v>799</v>
      </c>
      <c r="F60">
        <f>Ventes!E32</f>
        <v>821</v>
      </c>
      <c r="G60">
        <f>Ventes!F32</f>
        <v>151</v>
      </c>
      <c r="H60">
        <f>Ventes!G32</f>
        <v>1136</v>
      </c>
      <c r="I60">
        <f>Ventes!H32</f>
        <v>1373</v>
      </c>
      <c r="J60">
        <f>Ventes!I32</f>
        <v>0</v>
      </c>
      <c r="K60">
        <f>Ventes!J32</f>
        <v>24</v>
      </c>
      <c r="L60">
        <f>Ventes!K32</f>
        <v>0</v>
      </c>
      <c r="M60">
        <f>Ventes!L32</f>
        <v>0</v>
      </c>
      <c r="N60">
        <f>Ventes!M32</f>
        <v>0</v>
      </c>
      <c r="O60">
        <f>Ventes!N32</f>
        <v>346</v>
      </c>
    </row>
    <row r="61" spans="2:15" x14ac:dyDescent="0.35">
      <c r="B61" s="4">
        <v>2026</v>
      </c>
      <c r="C61" s="3" t="s">
        <v>13</v>
      </c>
      <c r="D61" s="3" t="s">
        <v>9</v>
      </c>
      <c r="E61">
        <f>Stock!D32</f>
        <v>4367</v>
      </c>
      <c r="F61">
        <f>Stock!E32</f>
        <v>2321</v>
      </c>
      <c r="G61">
        <f>Stock!F32</f>
        <v>13149</v>
      </c>
      <c r="H61">
        <f>Stock!G32</f>
        <v>2624</v>
      </c>
      <c r="I61">
        <f>Stock!H32</f>
        <v>10033</v>
      </c>
      <c r="J61">
        <f>Stock!I32</f>
        <v>0</v>
      </c>
      <c r="K61">
        <f>Stock!J32</f>
        <v>1953</v>
      </c>
      <c r="L61">
        <f>Stock!K32</f>
        <v>0</v>
      </c>
      <c r="M61">
        <f>Stock!L32</f>
        <v>0</v>
      </c>
      <c r="N61">
        <f>Stock!M32</f>
        <v>0</v>
      </c>
      <c r="O61">
        <f>Stock!N32</f>
        <v>1634</v>
      </c>
    </row>
    <row r="62" spans="2:15" x14ac:dyDescent="0.35">
      <c r="B62" s="4">
        <v>2026</v>
      </c>
      <c r="C62" s="3" t="s">
        <v>14</v>
      </c>
      <c r="D62" s="3" t="s">
        <v>8</v>
      </c>
      <c r="E62">
        <f>Ventes!D33</f>
        <v>1146</v>
      </c>
      <c r="F62">
        <f>Ventes!E33</f>
        <v>1273</v>
      </c>
      <c r="G62">
        <f>Ventes!F33</f>
        <v>226</v>
      </c>
      <c r="H62">
        <f>Ventes!G33</f>
        <v>1334</v>
      </c>
      <c r="I62">
        <f>Ventes!H33</f>
        <v>2866</v>
      </c>
      <c r="J62">
        <f>Ventes!I33</f>
        <v>0</v>
      </c>
      <c r="K62">
        <f>Ventes!J33</f>
        <v>22</v>
      </c>
      <c r="L62">
        <f>Ventes!K33</f>
        <v>0</v>
      </c>
      <c r="M62">
        <f>Ventes!L33</f>
        <v>0</v>
      </c>
      <c r="N62">
        <f>Ventes!M33</f>
        <v>0</v>
      </c>
      <c r="O62">
        <f>Ventes!N33</f>
        <v>386</v>
      </c>
    </row>
    <row r="63" spans="2:15" x14ac:dyDescent="0.35">
      <c r="B63" s="4">
        <v>2026</v>
      </c>
      <c r="C63" s="3" t="s">
        <v>14</v>
      </c>
      <c r="D63" s="3" t="s">
        <v>9</v>
      </c>
      <c r="E63">
        <f>Stock!D33</f>
        <v>3221</v>
      </c>
      <c r="F63">
        <f>Stock!E33</f>
        <v>1048</v>
      </c>
      <c r="G63">
        <f>Stock!F33</f>
        <v>12923</v>
      </c>
      <c r="H63">
        <f>Stock!G33</f>
        <v>1290</v>
      </c>
      <c r="I63">
        <f>Stock!H33</f>
        <v>7167</v>
      </c>
      <c r="J63">
        <f>Stock!I33</f>
        <v>0</v>
      </c>
      <c r="K63">
        <f>Stock!J33</f>
        <v>1931</v>
      </c>
      <c r="L63">
        <f>Stock!K33</f>
        <v>0</v>
      </c>
      <c r="M63">
        <f>Stock!L33</f>
        <v>0</v>
      </c>
      <c r="N63">
        <f>Stock!M33</f>
        <v>0</v>
      </c>
      <c r="O63">
        <f>Stock!N33</f>
        <v>1248</v>
      </c>
    </row>
    <row r="64" spans="2:15" x14ac:dyDescent="0.35">
      <c r="B64" s="4">
        <v>2026</v>
      </c>
      <c r="C64" s="3" t="s">
        <v>15</v>
      </c>
      <c r="D64" s="3" t="s">
        <v>8</v>
      </c>
      <c r="E64">
        <f>Ventes!D34</f>
        <v>924</v>
      </c>
      <c r="F64">
        <f>Ventes!E34</f>
        <v>728</v>
      </c>
      <c r="G64">
        <f>Ventes!F34</f>
        <v>134</v>
      </c>
      <c r="H64">
        <f>Ventes!G34</f>
        <v>1032</v>
      </c>
      <c r="I64">
        <f>Ventes!H34</f>
        <v>908</v>
      </c>
      <c r="J64">
        <f>Ventes!I34</f>
        <v>0</v>
      </c>
      <c r="K64">
        <f>Ventes!J34</f>
        <v>15</v>
      </c>
      <c r="L64">
        <f>Ventes!K34</f>
        <v>0</v>
      </c>
      <c r="M64">
        <f>Ventes!L34</f>
        <v>0</v>
      </c>
      <c r="N64">
        <f>Ventes!M34</f>
        <v>0</v>
      </c>
      <c r="O64">
        <f>Ventes!N34</f>
        <v>428</v>
      </c>
    </row>
    <row r="65" spans="2:15" x14ac:dyDescent="0.35">
      <c r="B65" s="4">
        <v>2026</v>
      </c>
      <c r="C65" s="3" t="s">
        <v>15</v>
      </c>
      <c r="D65" s="3" t="s">
        <v>9</v>
      </c>
      <c r="E65">
        <f>Stock!D34</f>
        <v>2297</v>
      </c>
      <c r="F65">
        <f>Stock!E34</f>
        <v>320</v>
      </c>
      <c r="G65">
        <f>Stock!F34</f>
        <v>12789</v>
      </c>
      <c r="H65">
        <f>Stock!G34</f>
        <v>258</v>
      </c>
      <c r="I65">
        <f>Stock!H34</f>
        <v>6259</v>
      </c>
      <c r="J65">
        <f>Stock!I34</f>
        <v>0</v>
      </c>
      <c r="K65">
        <f>Stock!J34</f>
        <v>1916</v>
      </c>
      <c r="L65">
        <f>Stock!K34</f>
        <v>0</v>
      </c>
      <c r="M65">
        <f>Stock!L34</f>
        <v>0</v>
      </c>
      <c r="N65">
        <f>Stock!M34</f>
        <v>0</v>
      </c>
      <c r="O65">
        <f>Stock!N34</f>
        <v>5942</v>
      </c>
    </row>
    <row r="66" spans="2:15" x14ac:dyDescent="0.35">
      <c r="B66" s="4">
        <v>2026</v>
      </c>
      <c r="C66" s="3" t="s">
        <v>16</v>
      </c>
      <c r="D66" s="3" t="s">
        <v>8</v>
      </c>
      <c r="E66">
        <f>Ventes!D35</f>
        <v>851</v>
      </c>
      <c r="F66">
        <f>Ventes!E35</f>
        <v>297</v>
      </c>
      <c r="G66">
        <f>Ventes!F35</f>
        <v>2051</v>
      </c>
      <c r="H66">
        <f>Ventes!G35</f>
        <v>258</v>
      </c>
      <c r="I66">
        <f>Ventes!H35</f>
        <v>1565</v>
      </c>
      <c r="J66">
        <f>Ventes!I35</f>
        <v>0</v>
      </c>
      <c r="K66">
        <f>Ventes!J35</f>
        <v>13</v>
      </c>
      <c r="L66">
        <f>Ventes!K35</f>
        <v>0</v>
      </c>
      <c r="M66">
        <f>Ventes!L35</f>
        <v>0</v>
      </c>
      <c r="N66">
        <f>Ventes!M35</f>
        <v>0</v>
      </c>
      <c r="O66">
        <f>Ventes!N35</f>
        <v>501</v>
      </c>
    </row>
    <row r="67" spans="2:15" x14ac:dyDescent="0.35">
      <c r="B67" s="4">
        <v>2026</v>
      </c>
      <c r="C67" s="3" t="s">
        <v>16</v>
      </c>
      <c r="D67" s="3" t="s">
        <v>9</v>
      </c>
      <c r="E67">
        <f>Stock!D35</f>
        <v>1446</v>
      </c>
      <c r="F67">
        <f>Stock!E35</f>
        <v>23</v>
      </c>
      <c r="G67">
        <f>Stock!F35</f>
        <v>10738</v>
      </c>
      <c r="H67">
        <f>Stock!G35</f>
        <v>0</v>
      </c>
      <c r="I67">
        <f>Stock!H35</f>
        <v>4694</v>
      </c>
      <c r="J67">
        <f>Stock!I35</f>
        <v>0</v>
      </c>
      <c r="K67">
        <f>Stock!J35</f>
        <v>1903</v>
      </c>
      <c r="L67">
        <f>Stock!K35</f>
        <v>0</v>
      </c>
      <c r="M67">
        <f>Stock!L35</f>
        <v>0</v>
      </c>
      <c r="N67">
        <f>Stock!M35</f>
        <v>0</v>
      </c>
      <c r="O67">
        <f>Stock!N35</f>
        <v>5441</v>
      </c>
    </row>
    <row r="68" spans="2:15" x14ac:dyDescent="0.35">
      <c r="B68" s="4">
        <v>2026</v>
      </c>
      <c r="C68" s="3" t="s">
        <v>17</v>
      </c>
      <c r="D68" s="3" t="s">
        <v>8</v>
      </c>
      <c r="E68">
        <f>Ventes!D36</f>
        <v>942</v>
      </c>
      <c r="F68">
        <f>Ventes!E36</f>
        <v>10</v>
      </c>
      <c r="G68">
        <f>Ventes!F36</f>
        <v>4466</v>
      </c>
      <c r="H68">
        <f>Ventes!G36</f>
        <v>0</v>
      </c>
      <c r="I68">
        <f>Ventes!H36</f>
        <v>587</v>
      </c>
      <c r="J68">
        <f>Ventes!I36</f>
        <v>0</v>
      </c>
      <c r="K68">
        <f>Ventes!J36</f>
        <v>16</v>
      </c>
      <c r="L68">
        <f>Ventes!K36</f>
        <v>0</v>
      </c>
      <c r="M68">
        <f>Ventes!L36</f>
        <v>0</v>
      </c>
      <c r="N68">
        <f>Ventes!M36</f>
        <v>0</v>
      </c>
      <c r="O68">
        <f>Ventes!N36</f>
        <v>303</v>
      </c>
    </row>
    <row r="69" spans="2:15" x14ac:dyDescent="0.35">
      <c r="B69" s="4">
        <v>2026</v>
      </c>
      <c r="C69" s="3" t="s">
        <v>17</v>
      </c>
      <c r="D69" s="3" t="s">
        <v>9</v>
      </c>
      <c r="E69">
        <f>Stock!D36</f>
        <v>504</v>
      </c>
      <c r="F69">
        <f>Stock!E36</f>
        <v>13</v>
      </c>
      <c r="G69">
        <f>Stock!F36</f>
        <v>6272</v>
      </c>
      <c r="H69">
        <f>Stock!G36</f>
        <v>0</v>
      </c>
      <c r="I69">
        <f>Stock!H36</f>
        <v>4107</v>
      </c>
      <c r="J69">
        <f>Stock!I36</f>
        <v>0</v>
      </c>
      <c r="K69">
        <f>Stock!J36</f>
        <v>1887</v>
      </c>
      <c r="L69">
        <f>Stock!K36</f>
        <v>0</v>
      </c>
      <c r="M69">
        <f>Stock!L36</f>
        <v>0</v>
      </c>
      <c r="N69">
        <f>Stock!M36</f>
        <v>0</v>
      </c>
      <c r="O69">
        <f>Stock!N36</f>
        <v>5138</v>
      </c>
    </row>
    <row r="70" spans="2:15" x14ac:dyDescent="0.35">
      <c r="B70" s="4">
        <v>2026</v>
      </c>
      <c r="C70" s="3" t="s">
        <v>18</v>
      </c>
      <c r="D70" s="3" t="s">
        <v>8</v>
      </c>
    </row>
    <row r="71" spans="2:15" x14ac:dyDescent="0.35">
      <c r="B71" s="4">
        <v>2026</v>
      </c>
      <c r="C71" s="3" t="s">
        <v>18</v>
      </c>
      <c r="D71" s="3" t="s">
        <v>9</v>
      </c>
    </row>
    <row r="72" spans="2:15" x14ac:dyDescent="0.35">
      <c r="B72" s="4">
        <v>2026</v>
      </c>
      <c r="C72" s="3" t="s">
        <v>19</v>
      </c>
      <c r="D72" s="3" t="s">
        <v>8</v>
      </c>
    </row>
    <row r="73" spans="2:15" x14ac:dyDescent="0.35">
      <c r="B73" s="4">
        <v>2026</v>
      </c>
      <c r="C73" s="3" t="s">
        <v>19</v>
      </c>
      <c r="D73" s="3" t="s">
        <v>9</v>
      </c>
    </row>
    <row r="74" spans="2:15" x14ac:dyDescent="0.35">
      <c r="B74" s="4">
        <v>2026</v>
      </c>
      <c r="C74" s="3" t="s">
        <v>20</v>
      </c>
      <c r="D74" s="3" t="s">
        <v>8</v>
      </c>
    </row>
    <row r="75" spans="2:15" x14ac:dyDescent="0.35">
      <c r="B75" s="4">
        <v>2026</v>
      </c>
      <c r="C75" s="3" t="s">
        <v>20</v>
      </c>
      <c r="D75" s="3" t="s">
        <v>9</v>
      </c>
    </row>
    <row r="76" spans="2:15" x14ac:dyDescent="0.35">
      <c r="D76" s="3"/>
    </row>
    <row r="77" spans="2:15" x14ac:dyDescent="0.35">
      <c r="D77" s="3"/>
    </row>
  </sheetData>
  <phoneticPr fontId="2" type="noConversion"/>
  <pageMargins left="0.7" right="0.7" top="0.75" bottom="0.75" header="0.3" footer="0.3"/>
  <pageSetup paperSize="9" scale="73" orientation="portrait" r:id="rId1"/>
  <customProperties>
    <customPr name="Ibp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E5D3-BB07-4A07-92CB-21891E5C3172}">
  <dimension ref="B2:N39"/>
  <sheetViews>
    <sheetView workbookViewId="0">
      <pane xSplit="3" ySplit="3" topLeftCell="D26" activePane="bottomRight" state="frozen"/>
      <selection pane="topRight" activeCell="E1" sqref="E1"/>
      <selection pane="bottomLeft" activeCell="A4" sqref="A4"/>
      <selection pane="bottomRight" activeCell="J37" sqref="J37"/>
    </sheetView>
  </sheetViews>
  <sheetFormatPr baseColWidth="10" defaultColWidth="8.90625" defaultRowHeight="14.5" x14ac:dyDescent="0.35"/>
  <cols>
    <col min="2" max="2" width="8.90625" style="1"/>
    <col min="4" max="4" width="13.1796875" customWidth="1"/>
    <col min="5" max="5" width="13.36328125" customWidth="1"/>
    <col min="6" max="6" width="13.1796875" customWidth="1"/>
    <col min="7" max="7" width="10.1796875" bestFit="1" customWidth="1"/>
    <col min="8" max="8" width="9.54296875" customWidth="1"/>
    <col min="9" max="9" width="10.54296875" customWidth="1"/>
    <col min="10" max="12" width="8.81640625" customWidth="1"/>
    <col min="13" max="14" width="10.36328125" bestFit="1" customWidth="1"/>
    <col min="15" max="15" width="19.54296875" bestFit="1" customWidth="1"/>
    <col min="21" max="21" width="17.54296875" bestFit="1" customWidth="1"/>
    <col min="22" max="22" width="17.08984375" bestFit="1" customWidth="1"/>
    <col min="23" max="23" width="19.54296875" bestFit="1" customWidth="1"/>
    <col min="24" max="25" width="20.36328125" bestFit="1" customWidth="1"/>
    <col min="26" max="27" width="19.90625" bestFit="1" customWidth="1"/>
    <col min="28" max="28" width="14.6328125" bestFit="1" customWidth="1"/>
    <col min="29" max="29" width="17.54296875" bestFit="1" customWidth="1"/>
    <col min="30" max="30" width="17.08984375" bestFit="1" customWidth="1"/>
    <col min="31" max="31" width="24.90625" bestFit="1" customWidth="1"/>
    <col min="32" max="33" width="24.453125" bestFit="1" customWidth="1"/>
    <col min="34" max="34" width="19.1796875" bestFit="1" customWidth="1"/>
    <col min="35" max="35" width="22.08984375" bestFit="1" customWidth="1"/>
    <col min="36" max="36" width="21.6328125" bestFit="1" customWidth="1"/>
  </cols>
  <sheetData>
    <row r="2" spans="2:14" x14ac:dyDescent="0.35">
      <c r="B2" s="1" t="s">
        <v>8</v>
      </c>
    </row>
    <row r="3" spans="2:14" x14ac:dyDescent="0.35">
      <c r="B3" s="2" t="s">
        <v>21</v>
      </c>
      <c r="C3" s="2" t="s">
        <v>22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30</v>
      </c>
      <c r="L3" s="2" t="s">
        <v>31</v>
      </c>
      <c r="M3" s="2" t="s">
        <v>32</v>
      </c>
      <c r="N3" s="2" t="s">
        <v>33</v>
      </c>
    </row>
    <row r="4" spans="2:14" x14ac:dyDescent="0.35">
      <c r="B4" s="4">
        <v>2024</v>
      </c>
      <c r="C4" s="3" t="s">
        <v>7</v>
      </c>
      <c r="D4" s="3">
        <v>0</v>
      </c>
      <c r="E4" s="3">
        <v>712</v>
      </c>
      <c r="F4" s="3">
        <v>4794</v>
      </c>
      <c r="G4" s="3">
        <v>0</v>
      </c>
      <c r="H4" s="3">
        <v>0</v>
      </c>
      <c r="I4" s="3">
        <v>899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2:14" x14ac:dyDescent="0.35">
      <c r="B5" s="4">
        <v>2024</v>
      </c>
      <c r="C5" s="3" t="s">
        <v>10</v>
      </c>
      <c r="D5" s="3">
        <v>1235</v>
      </c>
      <c r="E5" s="3">
        <v>622</v>
      </c>
      <c r="F5" s="3">
        <v>2594</v>
      </c>
      <c r="G5" s="3">
        <v>0</v>
      </c>
      <c r="H5" s="3">
        <v>0</v>
      </c>
      <c r="I5" s="3">
        <v>1008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2:14" x14ac:dyDescent="0.35">
      <c r="B6" s="4">
        <v>2024</v>
      </c>
      <c r="C6" s="3" t="s">
        <v>11</v>
      </c>
      <c r="D6" s="3">
        <v>1051</v>
      </c>
      <c r="E6" s="3">
        <v>572</v>
      </c>
      <c r="F6" s="3">
        <v>3829</v>
      </c>
      <c r="G6" s="3">
        <v>0</v>
      </c>
      <c r="H6" s="3">
        <v>0</v>
      </c>
      <c r="I6" s="3">
        <v>820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2:14" x14ac:dyDescent="0.35">
      <c r="B7" s="4">
        <v>2024</v>
      </c>
      <c r="C7" s="3" t="s">
        <v>12</v>
      </c>
      <c r="D7" s="3">
        <v>418</v>
      </c>
      <c r="E7" s="3">
        <v>60</v>
      </c>
      <c r="F7" s="3">
        <v>4539</v>
      </c>
      <c r="G7" s="3">
        <v>0</v>
      </c>
      <c r="H7" s="3">
        <v>0</v>
      </c>
      <c r="I7" s="3">
        <v>853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2:14" x14ac:dyDescent="0.35">
      <c r="B8" s="4">
        <v>2024</v>
      </c>
      <c r="C8" s="3" t="s">
        <v>13</v>
      </c>
      <c r="D8" s="3">
        <v>1011</v>
      </c>
      <c r="E8" s="3">
        <v>1445</v>
      </c>
      <c r="F8" s="3">
        <v>2958</v>
      </c>
      <c r="G8" s="3">
        <v>0</v>
      </c>
      <c r="H8" s="3">
        <v>0</v>
      </c>
      <c r="I8" s="3">
        <v>1154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2:14" x14ac:dyDescent="0.35">
      <c r="B9" s="4">
        <v>2024</v>
      </c>
      <c r="C9" s="3" t="s">
        <v>14</v>
      </c>
      <c r="D9" s="3">
        <v>579</v>
      </c>
      <c r="E9" s="3">
        <v>529</v>
      </c>
      <c r="F9" s="3">
        <v>3027</v>
      </c>
      <c r="G9" s="3">
        <v>0</v>
      </c>
      <c r="H9" s="3">
        <v>0</v>
      </c>
      <c r="I9" s="3">
        <v>1006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2:14" x14ac:dyDescent="0.35">
      <c r="B10" s="4">
        <v>2024</v>
      </c>
      <c r="C10" s="3" t="s">
        <v>15</v>
      </c>
      <c r="D10" s="3">
        <v>829</v>
      </c>
      <c r="E10" s="3">
        <v>794</v>
      </c>
      <c r="F10" s="3">
        <v>2661</v>
      </c>
      <c r="G10" s="3">
        <v>1</v>
      </c>
      <c r="H10" s="3">
        <v>0</v>
      </c>
      <c r="I10" s="3">
        <v>913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2:14" x14ac:dyDescent="0.35">
      <c r="B11" s="4">
        <v>2024</v>
      </c>
      <c r="C11" s="3" t="s">
        <v>16</v>
      </c>
      <c r="D11" s="3">
        <v>738</v>
      </c>
      <c r="E11" s="3">
        <v>652</v>
      </c>
      <c r="F11" s="3">
        <v>1554</v>
      </c>
      <c r="G11" s="3">
        <v>1379</v>
      </c>
      <c r="H11" s="3">
        <v>0</v>
      </c>
      <c r="I11" s="3">
        <v>798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2:14" x14ac:dyDescent="0.35">
      <c r="B12" s="4">
        <v>2024</v>
      </c>
      <c r="C12" s="3" t="s">
        <v>17</v>
      </c>
      <c r="D12" s="3">
        <v>1224</v>
      </c>
      <c r="E12" s="3">
        <v>979</v>
      </c>
      <c r="F12" s="3">
        <v>466</v>
      </c>
      <c r="G12" s="3">
        <v>1311</v>
      </c>
      <c r="H12" s="3">
        <v>0</v>
      </c>
      <c r="I12" s="3">
        <v>1020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2:14" x14ac:dyDescent="0.35">
      <c r="B13" s="4">
        <v>2024</v>
      </c>
      <c r="C13" s="3" t="s">
        <v>18</v>
      </c>
      <c r="D13" s="3">
        <v>636</v>
      </c>
      <c r="E13" s="3">
        <v>1048</v>
      </c>
      <c r="F13" s="3">
        <v>420</v>
      </c>
      <c r="G13" s="3">
        <v>1433</v>
      </c>
      <c r="H13" s="3">
        <v>0</v>
      </c>
      <c r="I13" s="3">
        <v>949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2:14" x14ac:dyDescent="0.35">
      <c r="B14" s="4">
        <v>2024</v>
      </c>
      <c r="C14" s="3" t="s">
        <v>19</v>
      </c>
      <c r="D14" s="3">
        <v>1094</v>
      </c>
      <c r="E14" s="3">
        <v>686</v>
      </c>
      <c r="F14" s="3">
        <v>398</v>
      </c>
      <c r="G14" s="3">
        <v>925</v>
      </c>
      <c r="H14" s="3">
        <v>0</v>
      </c>
      <c r="I14" s="3">
        <v>880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2:14" x14ac:dyDescent="0.35">
      <c r="B15" s="4">
        <v>2024</v>
      </c>
      <c r="C15" s="3" t="s">
        <v>20</v>
      </c>
      <c r="D15" s="3">
        <v>1114</v>
      </c>
      <c r="E15" s="3">
        <v>943</v>
      </c>
      <c r="F15" s="3">
        <v>670</v>
      </c>
      <c r="G15" s="3">
        <v>1512</v>
      </c>
      <c r="H15" s="3">
        <v>0</v>
      </c>
      <c r="I15" s="3">
        <v>930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2:14" x14ac:dyDescent="0.35">
      <c r="B16" s="4">
        <v>2025</v>
      </c>
      <c r="C16" s="3" t="s">
        <v>7</v>
      </c>
      <c r="D16" s="3">
        <v>1063</v>
      </c>
      <c r="E16" s="3">
        <v>976</v>
      </c>
      <c r="F16" s="3">
        <v>205</v>
      </c>
      <c r="G16" s="3">
        <v>1624</v>
      </c>
      <c r="H16" s="3">
        <v>0</v>
      </c>
      <c r="I16" s="3">
        <v>963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</row>
    <row r="17" spans="2:14" x14ac:dyDescent="0.35">
      <c r="B17" s="4">
        <v>2025</v>
      </c>
      <c r="C17" s="3" t="s">
        <v>10</v>
      </c>
      <c r="D17" s="3">
        <v>315</v>
      </c>
      <c r="E17" s="3">
        <v>337</v>
      </c>
      <c r="F17" s="3">
        <v>168</v>
      </c>
      <c r="G17" s="3">
        <v>619</v>
      </c>
      <c r="H17" s="3">
        <v>0</v>
      </c>
      <c r="I17" s="3">
        <v>905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2:14" x14ac:dyDescent="0.35">
      <c r="B18" s="4">
        <v>2025</v>
      </c>
      <c r="C18" s="3" t="s">
        <v>11</v>
      </c>
      <c r="D18" s="3">
        <v>1138</v>
      </c>
      <c r="E18" s="3">
        <v>959</v>
      </c>
      <c r="F18" s="3">
        <v>179</v>
      </c>
      <c r="G18" s="3">
        <v>1493</v>
      </c>
      <c r="H18" s="3">
        <v>0</v>
      </c>
      <c r="I18" s="3">
        <v>1109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2:14" x14ac:dyDescent="0.35">
      <c r="B19" s="4">
        <v>2025</v>
      </c>
      <c r="C19" s="3" t="s">
        <v>12</v>
      </c>
      <c r="D19" s="3">
        <v>898</v>
      </c>
      <c r="E19" s="3">
        <v>717</v>
      </c>
      <c r="F19" s="3">
        <v>336</v>
      </c>
      <c r="G19" s="3">
        <v>1286</v>
      </c>
      <c r="H19" s="3">
        <v>0</v>
      </c>
      <c r="I19" s="3">
        <v>1049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2:14" x14ac:dyDescent="0.35">
      <c r="B20" s="4">
        <v>2025</v>
      </c>
      <c r="C20" s="3" t="s">
        <v>13</v>
      </c>
      <c r="D20" s="3">
        <v>740</v>
      </c>
      <c r="E20" s="3">
        <v>1067</v>
      </c>
      <c r="F20" s="3">
        <v>519</v>
      </c>
      <c r="G20" s="3">
        <v>943</v>
      </c>
      <c r="H20" s="3">
        <v>0</v>
      </c>
      <c r="I20" s="3">
        <v>1145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2:14" x14ac:dyDescent="0.35">
      <c r="B21" s="4">
        <v>2025</v>
      </c>
      <c r="C21" s="3" t="s">
        <v>14</v>
      </c>
      <c r="D21" s="3">
        <v>768</v>
      </c>
      <c r="E21" s="3">
        <v>826</v>
      </c>
      <c r="F21" s="3">
        <v>265</v>
      </c>
      <c r="G21" s="3">
        <v>1246</v>
      </c>
      <c r="H21" s="3">
        <v>0</v>
      </c>
      <c r="I21" s="3">
        <v>839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2:14" x14ac:dyDescent="0.35">
      <c r="B22" s="4">
        <v>2025</v>
      </c>
      <c r="C22" s="3" t="s">
        <v>15</v>
      </c>
      <c r="D22" s="3">
        <v>975</v>
      </c>
      <c r="E22" s="3">
        <v>658</v>
      </c>
      <c r="F22" s="3">
        <v>433</v>
      </c>
      <c r="G22" s="3">
        <v>1024</v>
      </c>
      <c r="H22" s="3">
        <v>0</v>
      </c>
      <c r="I22" s="3">
        <v>1210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2:14" x14ac:dyDescent="0.35">
      <c r="B23" s="4">
        <v>2025</v>
      </c>
      <c r="C23" s="3" t="s">
        <v>16</v>
      </c>
      <c r="D23" s="3">
        <v>1322</v>
      </c>
      <c r="E23" s="3">
        <v>1057</v>
      </c>
      <c r="F23" s="3">
        <v>340</v>
      </c>
      <c r="G23" s="3">
        <v>1332</v>
      </c>
      <c r="H23" s="3">
        <v>622</v>
      </c>
      <c r="I23" s="3">
        <v>730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2:14" x14ac:dyDescent="0.35">
      <c r="B24" s="4">
        <v>2025</v>
      </c>
      <c r="C24" s="3" t="s">
        <v>17</v>
      </c>
      <c r="D24" s="3">
        <v>748</v>
      </c>
      <c r="E24" s="3">
        <v>931</v>
      </c>
      <c r="F24" s="3">
        <v>374</v>
      </c>
      <c r="G24" s="3">
        <v>1273</v>
      </c>
      <c r="H24" s="3">
        <v>1214</v>
      </c>
      <c r="I24" s="3">
        <v>163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2:14" x14ac:dyDescent="0.35">
      <c r="B25" s="4">
        <v>2025</v>
      </c>
      <c r="C25" s="3" t="s">
        <v>18</v>
      </c>
      <c r="D25" s="3">
        <v>1272</v>
      </c>
      <c r="E25" s="3">
        <v>991</v>
      </c>
      <c r="F25" s="3">
        <v>381</v>
      </c>
      <c r="G25" s="3">
        <v>1526</v>
      </c>
      <c r="H25" s="3">
        <v>1833</v>
      </c>
      <c r="I25" s="3">
        <v>93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2:14" x14ac:dyDescent="0.35">
      <c r="B26" s="4">
        <v>2025</v>
      </c>
      <c r="C26" s="3" t="s">
        <v>19</v>
      </c>
      <c r="D26" s="3">
        <v>996</v>
      </c>
      <c r="E26" s="3">
        <v>1009</v>
      </c>
      <c r="F26" s="3">
        <v>449</v>
      </c>
      <c r="G26" s="3">
        <v>1272</v>
      </c>
      <c r="H26" s="3">
        <v>1632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2:14" x14ac:dyDescent="0.35">
      <c r="B27" s="4">
        <v>2025</v>
      </c>
      <c r="C27" s="3" t="s">
        <v>20</v>
      </c>
      <c r="D27" s="3">
        <v>838</v>
      </c>
      <c r="E27" s="3">
        <v>737</v>
      </c>
      <c r="F27" s="3">
        <v>296</v>
      </c>
      <c r="G27" s="3">
        <v>952</v>
      </c>
      <c r="H27" s="3">
        <v>1196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2:14" x14ac:dyDescent="0.35">
      <c r="B28" s="4">
        <v>2026</v>
      </c>
      <c r="C28" s="3" t="s">
        <v>24</v>
      </c>
      <c r="D28" s="3">
        <v>1204</v>
      </c>
      <c r="E28" s="3">
        <v>1136</v>
      </c>
      <c r="F28" s="3">
        <v>313</v>
      </c>
      <c r="G28" s="3">
        <v>1349</v>
      </c>
      <c r="H28" s="3">
        <v>1691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2:14" x14ac:dyDescent="0.35">
      <c r="B29" s="4">
        <v>2026</v>
      </c>
      <c r="C29" s="3" t="s">
        <v>25</v>
      </c>
      <c r="D29" s="3">
        <v>1042</v>
      </c>
      <c r="E29" s="3">
        <v>744</v>
      </c>
      <c r="F29" s="3">
        <v>378</v>
      </c>
      <c r="G29" s="3">
        <v>1471</v>
      </c>
      <c r="H29" s="3">
        <v>1190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2:14" x14ac:dyDescent="0.35">
      <c r="B30" s="4">
        <v>2026</v>
      </c>
      <c r="C30" s="3" t="s">
        <v>11</v>
      </c>
      <c r="D30" s="3">
        <v>1369</v>
      </c>
      <c r="E30" s="3">
        <v>987</v>
      </c>
      <c r="F30" s="3">
        <v>436</v>
      </c>
      <c r="G30" s="3">
        <v>1335</v>
      </c>
      <c r="H30" s="3">
        <v>1483</v>
      </c>
      <c r="I30" s="3">
        <v>0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</row>
    <row r="31" spans="2:14" x14ac:dyDescent="0.35">
      <c r="B31" s="4">
        <v>2026</v>
      </c>
      <c r="C31" s="3" t="s">
        <v>26</v>
      </c>
      <c r="D31" s="3">
        <v>658</v>
      </c>
      <c r="E31" s="3">
        <v>856</v>
      </c>
      <c r="F31" s="3">
        <v>311</v>
      </c>
      <c r="G31" s="3">
        <v>922</v>
      </c>
      <c r="H31" s="3">
        <v>1700</v>
      </c>
      <c r="I31" s="3">
        <v>0</v>
      </c>
      <c r="J31" s="3">
        <v>17</v>
      </c>
      <c r="K31" s="3">
        <v>0</v>
      </c>
      <c r="L31" s="3">
        <v>0</v>
      </c>
      <c r="M31" s="3">
        <v>0</v>
      </c>
      <c r="N31" s="3">
        <v>0</v>
      </c>
    </row>
    <row r="32" spans="2:14" x14ac:dyDescent="0.35">
      <c r="B32" s="4">
        <v>2026</v>
      </c>
      <c r="C32" s="3" t="s">
        <v>13</v>
      </c>
      <c r="D32" s="3">
        <v>799</v>
      </c>
      <c r="E32" s="3">
        <v>821</v>
      </c>
      <c r="F32" s="3">
        <v>151</v>
      </c>
      <c r="G32" s="3">
        <v>1136</v>
      </c>
      <c r="H32" s="3">
        <v>1373</v>
      </c>
      <c r="I32" s="3">
        <v>0</v>
      </c>
      <c r="J32" s="3">
        <v>24</v>
      </c>
      <c r="K32" s="3">
        <v>0</v>
      </c>
      <c r="L32" s="3">
        <v>0</v>
      </c>
      <c r="M32" s="3">
        <v>0</v>
      </c>
      <c r="N32" s="3">
        <v>346</v>
      </c>
    </row>
    <row r="33" spans="2:14" x14ac:dyDescent="0.35">
      <c r="B33" s="4">
        <v>2026</v>
      </c>
      <c r="C33" s="3" t="s">
        <v>14</v>
      </c>
      <c r="D33" s="3">
        <v>1146</v>
      </c>
      <c r="E33" s="3">
        <v>1273</v>
      </c>
      <c r="F33" s="3">
        <v>226</v>
      </c>
      <c r="G33" s="3">
        <v>1334</v>
      </c>
      <c r="H33" s="3">
        <v>2866</v>
      </c>
      <c r="I33" s="3">
        <v>0</v>
      </c>
      <c r="J33" s="3">
        <v>22</v>
      </c>
      <c r="K33" s="3">
        <v>0</v>
      </c>
      <c r="L33" s="3">
        <v>0</v>
      </c>
      <c r="M33" s="3">
        <v>0</v>
      </c>
      <c r="N33" s="3">
        <v>386</v>
      </c>
    </row>
    <row r="34" spans="2:14" x14ac:dyDescent="0.35">
      <c r="B34" s="4">
        <v>2026</v>
      </c>
      <c r="C34" s="3" t="s">
        <v>27</v>
      </c>
      <c r="D34" s="3">
        <v>924</v>
      </c>
      <c r="E34" s="3">
        <v>728</v>
      </c>
      <c r="F34" s="3">
        <v>134</v>
      </c>
      <c r="G34" s="3">
        <v>1032</v>
      </c>
      <c r="H34" s="3">
        <v>908</v>
      </c>
      <c r="I34" s="3">
        <v>0</v>
      </c>
      <c r="J34" s="3">
        <v>15</v>
      </c>
      <c r="K34" s="3">
        <v>0</v>
      </c>
      <c r="L34" s="3">
        <v>0</v>
      </c>
      <c r="M34" s="3">
        <v>0</v>
      </c>
      <c r="N34" s="3">
        <v>428</v>
      </c>
    </row>
    <row r="35" spans="2:14" x14ac:dyDescent="0.35">
      <c r="B35" s="4">
        <v>2026</v>
      </c>
      <c r="C35" s="3" t="s">
        <v>28</v>
      </c>
      <c r="D35" s="3">
        <v>851</v>
      </c>
      <c r="E35" s="3">
        <v>297</v>
      </c>
      <c r="F35" s="3">
        <v>2051</v>
      </c>
      <c r="G35" s="3">
        <v>258</v>
      </c>
      <c r="H35" s="3">
        <v>1565</v>
      </c>
      <c r="I35" s="3">
        <v>0</v>
      </c>
      <c r="J35" s="3">
        <v>13</v>
      </c>
      <c r="K35" s="3">
        <v>0</v>
      </c>
      <c r="L35" s="3">
        <v>0</v>
      </c>
      <c r="M35" s="3">
        <v>0</v>
      </c>
      <c r="N35" s="3">
        <v>501</v>
      </c>
    </row>
    <row r="36" spans="2:14" x14ac:dyDescent="0.35">
      <c r="B36" s="4">
        <v>2026</v>
      </c>
      <c r="C36" s="3" t="s">
        <v>17</v>
      </c>
      <c r="D36" s="3">
        <v>942</v>
      </c>
      <c r="E36" s="3">
        <v>10</v>
      </c>
      <c r="F36" s="3">
        <v>4466</v>
      </c>
      <c r="G36" s="3">
        <v>0</v>
      </c>
      <c r="H36" s="3">
        <v>587</v>
      </c>
      <c r="I36" s="3">
        <v>0</v>
      </c>
      <c r="J36" s="3">
        <v>16</v>
      </c>
      <c r="K36" s="3">
        <v>0</v>
      </c>
      <c r="L36" s="3">
        <v>0</v>
      </c>
      <c r="M36" s="3">
        <v>0</v>
      </c>
      <c r="N36" s="3">
        <v>303</v>
      </c>
    </row>
    <row r="37" spans="2:14" x14ac:dyDescent="0.35">
      <c r="B37" s="4">
        <v>2026</v>
      </c>
      <c r="C37" s="3" t="s">
        <v>18</v>
      </c>
    </row>
    <row r="38" spans="2:14" x14ac:dyDescent="0.35">
      <c r="B38" s="4">
        <v>2026</v>
      </c>
      <c r="C38" s="3" t="s">
        <v>19</v>
      </c>
    </row>
    <row r="39" spans="2:14" x14ac:dyDescent="0.35">
      <c r="B39" s="4">
        <v>2026</v>
      </c>
      <c r="C39" s="3" t="s">
        <v>29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98AB-8B6C-43D6-8F50-ABB1A3BE29CE}">
  <dimension ref="B2:P39"/>
  <sheetViews>
    <sheetView workbookViewId="0">
      <pane xSplit="3" ySplit="3" topLeftCell="D26" activePane="bottomRight" state="frozen"/>
      <selection pane="topRight" activeCell="E1" sqref="E1"/>
      <selection pane="bottomLeft" activeCell="A4" sqref="A4"/>
      <selection pane="bottomRight" activeCell="K36" sqref="K36"/>
    </sheetView>
  </sheetViews>
  <sheetFormatPr baseColWidth="10" defaultColWidth="8.90625" defaultRowHeight="14.5" x14ac:dyDescent="0.35"/>
  <cols>
    <col min="2" max="2" width="8.90625" style="1"/>
    <col min="4" max="4" width="13.1796875" customWidth="1"/>
    <col min="5" max="5" width="13.36328125" customWidth="1"/>
    <col min="6" max="6" width="13.1796875" customWidth="1"/>
    <col min="7" max="7" width="10.1796875" bestFit="1" customWidth="1"/>
    <col min="8" max="8" width="9.54296875" customWidth="1"/>
    <col min="9" max="9" width="10.54296875" customWidth="1"/>
    <col min="10" max="14" width="8.81640625" customWidth="1"/>
  </cols>
  <sheetData>
    <row r="2" spans="2:16" x14ac:dyDescent="0.35">
      <c r="B2" s="1" t="s">
        <v>9</v>
      </c>
    </row>
    <row r="3" spans="2:16" x14ac:dyDescent="0.35">
      <c r="B3" s="2" t="s">
        <v>21</v>
      </c>
      <c r="C3" s="2" t="s">
        <v>22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30</v>
      </c>
      <c r="L3" s="2" t="s">
        <v>31</v>
      </c>
      <c r="M3" s="2" t="s">
        <v>32</v>
      </c>
      <c r="N3" s="2" t="s">
        <v>33</v>
      </c>
    </row>
    <row r="4" spans="2:16" x14ac:dyDescent="0.35">
      <c r="B4" s="4">
        <v>2024</v>
      </c>
      <c r="C4" s="3" t="s">
        <v>7</v>
      </c>
      <c r="D4" s="3">
        <v>1</v>
      </c>
      <c r="E4" s="3">
        <v>1265</v>
      </c>
      <c r="F4" s="3">
        <v>11805</v>
      </c>
      <c r="G4" s="3">
        <v>0</v>
      </c>
      <c r="H4" s="3">
        <v>0</v>
      </c>
      <c r="I4" s="3">
        <v>42750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2:16" x14ac:dyDescent="0.35">
      <c r="B5" s="4">
        <v>2024</v>
      </c>
      <c r="C5" s="3" t="s">
        <v>10</v>
      </c>
      <c r="D5" s="3">
        <v>386</v>
      </c>
      <c r="E5" s="3">
        <v>633</v>
      </c>
      <c r="F5" s="3">
        <v>9211</v>
      </c>
      <c r="G5" s="3">
        <v>0</v>
      </c>
      <c r="H5" s="3">
        <v>0</v>
      </c>
      <c r="I5" s="3">
        <v>41742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2:16" x14ac:dyDescent="0.35">
      <c r="B6" s="4">
        <v>2024</v>
      </c>
      <c r="C6" s="3" t="s">
        <v>11</v>
      </c>
      <c r="D6" s="3">
        <v>2715</v>
      </c>
      <c r="E6" s="3">
        <v>61</v>
      </c>
      <c r="F6" s="3">
        <v>5382</v>
      </c>
      <c r="G6" s="3">
        <v>0</v>
      </c>
      <c r="H6" s="3">
        <v>0</v>
      </c>
      <c r="I6" s="3">
        <v>40922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2:16" x14ac:dyDescent="0.35">
      <c r="B7" s="4">
        <v>2024</v>
      </c>
      <c r="C7" s="3" t="s">
        <v>12</v>
      </c>
      <c r="D7" s="3">
        <v>7497</v>
      </c>
      <c r="E7" s="3">
        <v>3455</v>
      </c>
      <c r="F7" s="3">
        <v>7444</v>
      </c>
      <c r="G7" s="3">
        <v>6189</v>
      </c>
      <c r="H7" s="3">
        <v>0</v>
      </c>
      <c r="I7" s="3">
        <v>40069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2:16" x14ac:dyDescent="0.35">
      <c r="B8" s="4">
        <v>2024</v>
      </c>
      <c r="C8" s="3" t="s">
        <v>13</v>
      </c>
      <c r="D8" s="3">
        <v>6486</v>
      </c>
      <c r="E8" s="3">
        <v>2010</v>
      </c>
      <c r="F8" s="3">
        <v>4486</v>
      </c>
      <c r="G8" s="3">
        <v>6189</v>
      </c>
      <c r="H8" s="3">
        <v>0</v>
      </c>
      <c r="I8" s="3">
        <v>38915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P8" s="6"/>
    </row>
    <row r="9" spans="2:16" x14ac:dyDescent="0.35">
      <c r="B9" s="4">
        <v>2024</v>
      </c>
      <c r="C9" s="3" t="s">
        <v>14</v>
      </c>
      <c r="D9" s="3">
        <v>5907</v>
      </c>
      <c r="E9" s="3">
        <v>1481</v>
      </c>
      <c r="F9" s="3">
        <v>1459</v>
      </c>
      <c r="G9" s="3">
        <v>6189</v>
      </c>
      <c r="H9" s="3">
        <v>0</v>
      </c>
      <c r="I9" s="3">
        <v>37909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P9" s="6"/>
    </row>
    <row r="10" spans="2:16" x14ac:dyDescent="0.35">
      <c r="B10" s="4">
        <v>2024</v>
      </c>
      <c r="C10" s="3" t="s">
        <v>15</v>
      </c>
      <c r="D10" s="3">
        <v>7328</v>
      </c>
      <c r="E10" s="3">
        <v>2172</v>
      </c>
      <c r="F10" s="3">
        <v>10298</v>
      </c>
      <c r="G10" s="3">
        <v>9339</v>
      </c>
      <c r="H10" s="3">
        <v>0</v>
      </c>
      <c r="I10" s="3">
        <v>36996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P10" s="6"/>
    </row>
    <row r="11" spans="2:16" x14ac:dyDescent="0.35">
      <c r="B11" s="4">
        <v>2024</v>
      </c>
      <c r="C11" s="3" t="s">
        <v>16</v>
      </c>
      <c r="D11" s="3">
        <v>6590</v>
      </c>
      <c r="E11" s="3">
        <v>1520</v>
      </c>
      <c r="F11" s="3">
        <v>8744</v>
      </c>
      <c r="G11" s="3">
        <v>7960</v>
      </c>
      <c r="H11" s="3">
        <v>0</v>
      </c>
      <c r="I11" s="3">
        <v>36198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P11" s="6"/>
    </row>
    <row r="12" spans="2:16" x14ac:dyDescent="0.35">
      <c r="B12" s="4">
        <v>2024</v>
      </c>
      <c r="C12" s="3" t="s">
        <v>17</v>
      </c>
      <c r="D12" s="3">
        <v>5366</v>
      </c>
      <c r="E12" s="3">
        <v>4041</v>
      </c>
      <c r="F12" s="3">
        <v>8278</v>
      </c>
      <c r="G12" s="3">
        <v>6649</v>
      </c>
      <c r="H12" s="3">
        <v>0</v>
      </c>
      <c r="I12" s="3">
        <v>35178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P12" s="6"/>
    </row>
    <row r="13" spans="2:16" x14ac:dyDescent="0.35">
      <c r="B13" s="4">
        <v>2024</v>
      </c>
      <c r="C13" s="3" t="s">
        <v>18</v>
      </c>
      <c r="D13" s="3">
        <v>7230</v>
      </c>
      <c r="E13" s="3">
        <v>2993</v>
      </c>
      <c r="F13" s="3">
        <v>14757</v>
      </c>
      <c r="G13" s="3">
        <v>7966</v>
      </c>
      <c r="H13" s="3">
        <v>0</v>
      </c>
      <c r="I13" s="3">
        <v>34107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P13" s="9"/>
    </row>
    <row r="14" spans="2:16" x14ac:dyDescent="0.35">
      <c r="B14" s="4">
        <v>2024</v>
      </c>
      <c r="C14" s="3" t="s">
        <v>19</v>
      </c>
      <c r="D14" s="3">
        <v>6136</v>
      </c>
      <c r="E14" s="3">
        <v>2307</v>
      </c>
      <c r="F14" s="3">
        <v>14359</v>
      </c>
      <c r="G14" s="3">
        <v>7041</v>
      </c>
      <c r="H14" s="3">
        <v>0</v>
      </c>
      <c r="I14" s="3">
        <v>33227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P14" s="9"/>
    </row>
    <row r="15" spans="2:16" ht="15.5" x14ac:dyDescent="0.35">
      <c r="B15" s="4">
        <v>2024</v>
      </c>
      <c r="C15" s="3" t="s">
        <v>20</v>
      </c>
      <c r="D15" s="3">
        <v>9022</v>
      </c>
      <c r="E15" s="3">
        <v>6864</v>
      </c>
      <c r="F15" s="3">
        <v>13689</v>
      </c>
      <c r="G15" s="3">
        <v>7949</v>
      </c>
      <c r="H15" s="3">
        <v>0</v>
      </c>
      <c r="I15" s="3">
        <v>32297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P15" s="8"/>
    </row>
    <row r="16" spans="2:16" x14ac:dyDescent="0.35">
      <c r="B16" s="4">
        <v>2025</v>
      </c>
      <c r="C16" s="3" t="s">
        <v>7</v>
      </c>
      <c r="D16" s="3">
        <v>7959</v>
      </c>
      <c r="E16" s="3">
        <v>9017</v>
      </c>
      <c r="F16" s="3">
        <v>18478</v>
      </c>
      <c r="G16" s="3">
        <v>7954</v>
      </c>
      <c r="H16" s="3">
        <v>0</v>
      </c>
      <c r="I16" s="3">
        <v>31334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P16" s="9"/>
    </row>
    <row r="17" spans="2:16" x14ac:dyDescent="0.35">
      <c r="B17" s="4">
        <v>2025</v>
      </c>
      <c r="C17" s="3" t="s">
        <v>10</v>
      </c>
      <c r="D17" s="3">
        <v>10144</v>
      </c>
      <c r="E17" s="3">
        <v>9680</v>
      </c>
      <c r="F17" s="3">
        <v>18310</v>
      </c>
      <c r="G17" s="3">
        <v>7335</v>
      </c>
      <c r="H17" s="3">
        <v>0</v>
      </c>
      <c r="I17" s="3">
        <v>30429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P17" s="9"/>
    </row>
    <row r="18" spans="2:16" ht="15" x14ac:dyDescent="0.35">
      <c r="B18" s="4">
        <v>2025</v>
      </c>
      <c r="C18" s="3" t="s">
        <v>11</v>
      </c>
      <c r="D18" s="3">
        <v>9006</v>
      </c>
      <c r="E18" s="3">
        <v>13088</v>
      </c>
      <c r="F18" s="3">
        <v>18131</v>
      </c>
      <c r="G18" s="3">
        <v>5842</v>
      </c>
      <c r="H18" s="3">
        <v>0</v>
      </c>
      <c r="I18" s="3">
        <v>29310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P18" s="7"/>
    </row>
    <row r="19" spans="2:16" x14ac:dyDescent="0.35">
      <c r="B19" s="4">
        <v>2025</v>
      </c>
      <c r="C19" s="3" t="s">
        <v>12</v>
      </c>
      <c r="D19" s="3">
        <v>8108</v>
      </c>
      <c r="E19" s="3">
        <v>12371</v>
      </c>
      <c r="F19" s="3">
        <v>17795</v>
      </c>
      <c r="G19" s="3">
        <v>7306</v>
      </c>
      <c r="H19" s="3">
        <v>0</v>
      </c>
      <c r="I19" s="3">
        <v>28271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P19" s="9"/>
    </row>
    <row r="20" spans="2:16" x14ac:dyDescent="0.35">
      <c r="B20" s="4">
        <v>2025</v>
      </c>
      <c r="C20" s="3" t="s">
        <v>13</v>
      </c>
      <c r="D20" s="3">
        <v>7368</v>
      </c>
      <c r="E20" s="3">
        <v>11304</v>
      </c>
      <c r="F20" s="3">
        <v>17276</v>
      </c>
      <c r="G20" s="3">
        <v>6363</v>
      </c>
      <c r="H20" s="3">
        <v>0</v>
      </c>
      <c r="I20" s="3">
        <v>27126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P20" s="9"/>
    </row>
    <row r="21" spans="2:16" x14ac:dyDescent="0.35">
      <c r="B21" s="4">
        <v>2025</v>
      </c>
      <c r="C21" s="3" t="s">
        <v>14</v>
      </c>
      <c r="D21" s="3">
        <v>9350</v>
      </c>
      <c r="E21" s="3">
        <v>12248</v>
      </c>
      <c r="F21" s="3">
        <v>17011</v>
      </c>
      <c r="G21" s="3">
        <v>11228</v>
      </c>
      <c r="H21" s="3">
        <v>0</v>
      </c>
      <c r="I21" s="3">
        <v>26287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P21" s="5"/>
    </row>
    <row r="22" spans="2:16" x14ac:dyDescent="0.35">
      <c r="B22" s="4">
        <v>2025</v>
      </c>
      <c r="C22" s="3" t="s">
        <v>15</v>
      </c>
      <c r="D22" s="3">
        <v>8375</v>
      </c>
      <c r="E22" s="3">
        <v>11590</v>
      </c>
      <c r="F22" s="3">
        <v>16578</v>
      </c>
      <c r="G22" s="3">
        <v>10204</v>
      </c>
      <c r="H22" s="3">
        <v>2000</v>
      </c>
      <c r="I22" s="3">
        <v>25077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2:16" x14ac:dyDescent="0.35">
      <c r="B23" s="4">
        <v>2025</v>
      </c>
      <c r="C23" s="3" t="s">
        <v>16</v>
      </c>
      <c r="D23" s="3">
        <v>7053</v>
      </c>
      <c r="E23" s="3">
        <v>10533</v>
      </c>
      <c r="F23" s="3">
        <v>16238</v>
      </c>
      <c r="G23" s="3">
        <v>8872</v>
      </c>
      <c r="H23" s="3">
        <v>1378</v>
      </c>
      <c r="I23" s="3">
        <v>24347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2:16" x14ac:dyDescent="0.35">
      <c r="B24" s="4">
        <v>2025</v>
      </c>
      <c r="C24" s="3" t="s">
        <v>17</v>
      </c>
      <c r="D24" s="3">
        <v>10145</v>
      </c>
      <c r="E24" s="3">
        <v>9602</v>
      </c>
      <c r="F24" s="3">
        <v>15864</v>
      </c>
      <c r="G24" s="3">
        <v>9903</v>
      </c>
      <c r="H24" s="3">
        <v>8588</v>
      </c>
      <c r="I24" s="3">
        <v>23040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2:16" x14ac:dyDescent="0.35">
      <c r="B25" s="4">
        <v>2025</v>
      </c>
      <c r="C25" s="3" t="s">
        <v>18</v>
      </c>
      <c r="D25" s="3">
        <v>8873</v>
      </c>
      <c r="E25" s="3">
        <v>8611</v>
      </c>
      <c r="F25" s="3">
        <v>15483</v>
      </c>
      <c r="G25" s="3">
        <v>11073</v>
      </c>
      <c r="H25" s="3">
        <v>6750</v>
      </c>
      <c r="I25" s="3">
        <v>22947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2:16" x14ac:dyDescent="0.35">
      <c r="B26" s="4">
        <v>2025</v>
      </c>
      <c r="C26" s="3" t="s">
        <v>19</v>
      </c>
      <c r="D26" s="3">
        <v>7877</v>
      </c>
      <c r="E26" s="3">
        <v>7602</v>
      </c>
      <c r="F26" s="3">
        <v>15034</v>
      </c>
      <c r="G26" s="3">
        <v>9801</v>
      </c>
      <c r="H26" s="3">
        <v>18666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2:16" x14ac:dyDescent="0.35">
      <c r="B27" s="4">
        <v>2025</v>
      </c>
      <c r="C27" s="3" t="s">
        <v>20</v>
      </c>
      <c r="D27" s="3">
        <v>7039</v>
      </c>
      <c r="E27" s="3">
        <v>6865</v>
      </c>
      <c r="F27" s="3">
        <v>14738</v>
      </c>
      <c r="G27" s="3">
        <v>8837</v>
      </c>
      <c r="H27" s="3">
        <v>17470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2:16" x14ac:dyDescent="0.35">
      <c r="B28" s="4">
        <v>2026</v>
      </c>
      <c r="C28" s="3" t="s">
        <v>24</v>
      </c>
      <c r="D28" s="3">
        <v>5835</v>
      </c>
      <c r="E28" s="3">
        <v>5729</v>
      </c>
      <c r="F28" s="3">
        <v>14425</v>
      </c>
      <c r="G28" s="3">
        <v>7488</v>
      </c>
      <c r="H28" s="3">
        <v>15779</v>
      </c>
      <c r="I28" s="3">
        <v>0</v>
      </c>
      <c r="J28" s="3">
        <v>960</v>
      </c>
      <c r="K28" s="3">
        <v>0</v>
      </c>
      <c r="L28" s="3">
        <v>0</v>
      </c>
      <c r="M28" s="3">
        <v>0</v>
      </c>
      <c r="N28" s="3">
        <v>0</v>
      </c>
    </row>
    <row r="29" spans="2:16" x14ac:dyDescent="0.35">
      <c r="B29" s="4">
        <v>2026</v>
      </c>
      <c r="C29" s="3" t="s">
        <v>25</v>
      </c>
      <c r="D29" s="3">
        <v>4793</v>
      </c>
      <c r="E29" s="3">
        <v>4985</v>
      </c>
      <c r="F29" s="3">
        <v>14047</v>
      </c>
      <c r="G29" s="3">
        <v>6017</v>
      </c>
      <c r="H29" s="3">
        <v>14589</v>
      </c>
      <c r="I29" s="3">
        <v>0</v>
      </c>
      <c r="J29" s="3">
        <v>1999</v>
      </c>
      <c r="K29" s="3">
        <v>0</v>
      </c>
      <c r="L29" s="3">
        <v>0</v>
      </c>
      <c r="M29" s="3">
        <v>0</v>
      </c>
      <c r="N29" s="3">
        <v>0</v>
      </c>
    </row>
    <row r="30" spans="2:16" x14ac:dyDescent="0.35">
      <c r="B30" s="4">
        <v>2026</v>
      </c>
      <c r="C30" s="3" t="s">
        <v>11</v>
      </c>
      <c r="D30" s="3">
        <v>3424</v>
      </c>
      <c r="E30" s="3">
        <v>3998</v>
      </c>
      <c r="F30" s="3">
        <v>13611</v>
      </c>
      <c r="G30" s="3">
        <v>4682</v>
      </c>
      <c r="H30" s="3">
        <v>13106</v>
      </c>
      <c r="I30" s="3">
        <v>0</v>
      </c>
      <c r="J30" s="3">
        <v>1994</v>
      </c>
      <c r="K30" s="3">
        <v>0</v>
      </c>
      <c r="L30" s="3">
        <v>0</v>
      </c>
      <c r="M30" s="3">
        <v>0</v>
      </c>
      <c r="N30" s="3">
        <v>0</v>
      </c>
    </row>
    <row r="31" spans="2:16" x14ac:dyDescent="0.35">
      <c r="B31" s="4">
        <v>2026</v>
      </c>
      <c r="C31" s="3" t="s">
        <v>26</v>
      </c>
      <c r="D31" s="3">
        <v>5166</v>
      </c>
      <c r="E31" s="3">
        <v>3142</v>
      </c>
      <c r="F31" s="3">
        <v>13300</v>
      </c>
      <c r="G31" s="3">
        <v>3760</v>
      </c>
      <c r="H31" s="3">
        <v>11406</v>
      </c>
      <c r="I31" s="3">
        <v>0</v>
      </c>
      <c r="J31" s="3">
        <v>1977</v>
      </c>
      <c r="K31" s="3">
        <v>0</v>
      </c>
      <c r="L31" s="3">
        <v>0</v>
      </c>
      <c r="M31" s="3">
        <v>0</v>
      </c>
      <c r="N31" s="3">
        <v>0</v>
      </c>
    </row>
    <row r="32" spans="2:16" x14ac:dyDescent="0.35">
      <c r="B32" s="4">
        <v>2026</v>
      </c>
      <c r="C32" s="3" t="s">
        <v>13</v>
      </c>
      <c r="D32" s="3">
        <v>4367</v>
      </c>
      <c r="E32" s="3">
        <v>2321</v>
      </c>
      <c r="F32" s="3">
        <v>13149</v>
      </c>
      <c r="G32" s="3">
        <v>2624</v>
      </c>
      <c r="H32" s="3">
        <v>10033</v>
      </c>
      <c r="I32" s="3">
        <v>0</v>
      </c>
      <c r="J32" s="3">
        <v>1953</v>
      </c>
      <c r="K32" s="3">
        <v>0</v>
      </c>
      <c r="L32" s="3">
        <v>0</v>
      </c>
      <c r="M32" s="3">
        <v>0</v>
      </c>
      <c r="N32" s="3">
        <v>1634</v>
      </c>
    </row>
    <row r="33" spans="2:14" x14ac:dyDescent="0.35">
      <c r="B33" s="4">
        <v>2026</v>
      </c>
      <c r="C33" s="3" t="s">
        <v>14</v>
      </c>
      <c r="D33" s="3">
        <v>3221</v>
      </c>
      <c r="E33" s="3">
        <v>1048</v>
      </c>
      <c r="F33" s="3">
        <v>12923</v>
      </c>
      <c r="G33" s="3">
        <v>1290</v>
      </c>
      <c r="H33" s="3">
        <v>7167</v>
      </c>
      <c r="I33" s="3">
        <v>0</v>
      </c>
      <c r="J33" s="3">
        <v>1931</v>
      </c>
      <c r="K33" s="3">
        <v>0</v>
      </c>
      <c r="L33" s="3">
        <v>0</v>
      </c>
      <c r="M33" s="3">
        <v>0</v>
      </c>
      <c r="N33" s="3">
        <v>1248</v>
      </c>
    </row>
    <row r="34" spans="2:14" x14ac:dyDescent="0.35">
      <c r="B34" s="4">
        <v>2026</v>
      </c>
      <c r="C34" s="3" t="s">
        <v>27</v>
      </c>
      <c r="D34" s="3">
        <v>2297</v>
      </c>
      <c r="E34" s="3">
        <v>320</v>
      </c>
      <c r="F34" s="3">
        <v>12789</v>
      </c>
      <c r="G34" s="3">
        <v>258</v>
      </c>
      <c r="H34" s="3">
        <v>6259</v>
      </c>
      <c r="I34" s="3">
        <v>0</v>
      </c>
      <c r="J34" s="3">
        <v>1916</v>
      </c>
      <c r="K34" s="3">
        <v>0</v>
      </c>
      <c r="L34" s="3">
        <v>0</v>
      </c>
      <c r="M34" s="3">
        <v>0</v>
      </c>
      <c r="N34" s="3">
        <v>5942</v>
      </c>
    </row>
    <row r="35" spans="2:14" x14ac:dyDescent="0.35">
      <c r="B35" s="4">
        <v>2026</v>
      </c>
      <c r="C35" s="3" t="s">
        <v>28</v>
      </c>
      <c r="D35" s="3">
        <v>1446</v>
      </c>
      <c r="E35" s="3">
        <v>23</v>
      </c>
      <c r="F35" s="3">
        <v>10738</v>
      </c>
      <c r="G35" s="3">
        <v>0</v>
      </c>
      <c r="H35" s="3">
        <v>4694</v>
      </c>
      <c r="I35" s="3">
        <v>0</v>
      </c>
      <c r="J35" s="3">
        <v>1903</v>
      </c>
      <c r="K35" s="3">
        <v>0</v>
      </c>
      <c r="L35" s="3">
        <v>0</v>
      </c>
      <c r="M35" s="3">
        <v>0</v>
      </c>
      <c r="N35" s="3">
        <v>5441</v>
      </c>
    </row>
    <row r="36" spans="2:14" x14ac:dyDescent="0.35">
      <c r="B36" s="4">
        <v>2026</v>
      </c>
      <c r="C36" s="3" t="s">
        <v>17</v>
      </c>
      <c r="D36" s="3">
        <v>504</v>
      </c>
      <c r="E36" s="3">
        <v>13</v>
      </c>
      <c r="F36" s="3">
        <v>6272</v>
      </c>
      <c r="G36" s="3">
        <v>0</v>
      </c>
      <c r="H36" s="3">
        <v>4107</v>
      </c>
      <c r="I36" s="3">
        <v>0</v>
      </c>
      <c r="J36" s="3">
        <v>1887</v>
      </c>
      <c r="K36" s="3">
        <v>0</v>
      </c>
      <c r="L36" s="3">
        <v>0</v>
      </c>
      <c r="M36" s="3">
        <v>0</v>
      </c>
      <c r="N36" s="3">
        <v>5138</v>
      </c>
    </row>
    <row r="37" spans="2:14" x14ac:dyDescent="0.35">
      <c r="B37" s="4">
        <v>2026</v>
      </c>
      <c r="C37" s="3" t="s">
        <v>18</v>
      </c>
    </row>
    <row r="38" spans="2:14" x14ac:dyDescent="0.35">
      <c r="B38" s="4">
        <v>2026</v>
      </c>
      <c r="C38" s="3" t="s">
        <v>19</v>
      </c>
    </row>
    <row r="39" spans="2:14" x14ac:dyDescent="0.35">
      <c r="B39" s="4">
        <v>2026</v>
      </c>
      <c r="C39" s="3" t="s">
        <v>29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</worksheet>
</file>

<file path=docMetadata/LabelInfo.xml><?xml version="1.0" encoding="utf-8"?>
<clbl:labelList xmlns:clbl="http://schemas.microsoft.com/office/2020/mipLabelMetadata">
  <clbl:label id="{c43083c0-cc01-4eaa-ba4e-d8b6f7c13b95}" enabled="0" method="" siteId="{c43083c0-cc01-4eaa-ba4e-d8b6f7c13b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Ventes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Souhail Tebib/COMMERCIAL-EM/BBMAR</dc:creator>
  <cp:lastModifiedBy>Ilhem Bechraoui Meziane</cp:lastModifiedBy>
  <cp:lastPrinted>2025-10-03T14:10:19Z</cp:lastPrinted>
  <dcterms:created xsi:type="dcterms:W3CDTF">2025-10-02T09:52:25Z</dcterms:created>
  <dcterms:modified xsi:type="dcterms:W3CDTF">2026-10-06T16:58:33Z</dcterms:modified>
</cp:coreProperties>
</file>