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nshilife-my.sharepoint.com/personal/3240_tenshi_co_in/Documents/My Folder/Tenshi/Tenshi Tunisa/My Folder Tunisia/Imported Products/"/>
    </mc:Choice>
  </mc:AlternateContent>
  <xr:revisionPtr revIDLastSave="455" documentId="8_{4926D201-7177-41C7-8599-575A54CED0A7}" xr6:coauthVersionLast="47" xr6:coauthVersionMax="47" xr10:uidLastSave="{0F525293-963E-443A-8CA7-E8744720DB44}"/>
  <bookViews>
    <workbookView xWindow="-110" yWindow="-110" windowWidth="19420" windowHeight="10300" tabRatio="500" xr2:uid="{00000000-000D-0000-FFFF-FFFF00000000}"/>
  </bookViews>
  <sheets>
    <sheet name="Monthwise Sales Data" sheetId="15" r:id="rId1"/>
    <sheet name="Wholesaler Sales Date" sheetId="16" r:id="rId2"/>
  </sheets>
  <definedNames>
    <definedName name="_xlnm._FilterDatabase" localSheetId="1" hidden="1">'Wholesaler Sales Date'!$A$3:$C$46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6" l="1"/>
  <c r="G17" i="15"/>
  <c r="C46" i="16"/>
  <c r="F17" i="15"/>
  <c r="D17" i="15"/>
  <c r="E17" i="15"/>
  <c r="C17" i="15"/>
  <c r="B17" i="15"/>
  <c r="B46" i="16"/>
  <c r="F3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D3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</calcChain>
</file>

<file path=xl/sharedStrings.xml><?xml version="1.0" encoding="utf-8"?>
<sst xmlns="http://schemas.openxmlformats.org/spreadsheetml/2006/main" count="72" uniqueCount="72">
  <si>
    <t>CELEBREX 200mg B/10 GELULES</t>
  </si>
  <si>
    <t>CELEBREX 200mg B/30 GELULES</t>
  </si>
  <si>
    <t>AMLOR 5mg B/30 CP</t>
  </si>
  <si>
    <t>CELEBREX 200mg B/20 GELULES</t>
  </si>
  <si>
    <t>ZOLOFT 50 MG BOITE DE 30 CPS</t>
  </si>
  <si>
    <t>ZOLOFT 50mg B/15 CP</t>
  </si>
  <si>
    <t>TAHOR 40MG B/91</t>
  </si>
  <si>
    <t>TAHOR 10 mg B/91</t>
  </si>
  <si>
    <t>AMLOR 5mg B/90 CP</t>
  </si>
  <si>
    <t>AMLOR 10mg B/30 GELULES</t>
  </si>
  <si>
    <t>TAHOR 20MG B/91</t>
  </si>
  <si>
    <t>TAHOR 10mg B/28 CP</t>
  </si>
  <si>
    <t>TAHOR 20MG B/28</t>
  </si>
  <si>
    <t>TAHOR 40MG B/28</t>
  </si>
  <si>
    <t>TOTAL</t>
  </si>
  <si>
    <t>Client</t>
  </si>
  <si>
    <t>COTUPHA</t>
  </si>
  <si>
    <t>MEDIGROS SARL</t>
  </si>
  <si>
    <t>OMNIPHARM REPARTITION</t>
  </si>
  <si>
    <t>KPROPHARMA</t>
  </si>
  <si>
    <t>COPHADIS</t>
  </si>
  <si>
    <t>PHARMASPRINT</t>
  </si>
  <si>
    <t>MEDICA NORD</t>
  </si>
  <si>
    <t>SM PHARMA</t>
  </si>
  <si>
    <t>GALIEN</t>
  </si>
  <si>
    <t>COPROPHA</t>
  </si>
  <si>
    <t>PHARMA SUD</t>
  </si>
  <si>
    <t>COMPTOIR MEDITERRANEE DES PRODUITS</t>
  </si>
  <si>
    <t>DHAPHAR</t>
  </si>
  <si>
    <t>MEDICA SERVICES</t>
  </si>
  <si>
    <t>PHARMAGROS</t>
  </si>
  <si>
    <t>COGEMED</t>
  </si>
  <si>
    <t>NEW SERPHARMA</t>
  </si>
  <si>
    <t>DALIA PHARMA</t>
  </si>
  <si>
    <t>Product</t>
  </si>
  <si>
    <t>Actual Sales
(Month March)</t>
  </si>
  <si>
    <t>MEDICA CENTRE</t>
  </si>
  <si>
    <t>LIDIAL PHARMA</t>
  </si>
  <si>
    <t>GZ PHARMA</t>
  </si>
  <si>
    <t>KIPROPHA</t>
  </si>
  <si>
    <t>RUSPINA PHARMA</t>
  </si>
  <si>
    <t>UNIVERS PHARMA</t>
  </si>
  <si>
    <t>PHARMA SERVICES S.A</t>
  </si>
  <si>
    <t>MCHIRGUI PHARMA</t>
  </si>
  <si>
    <t>ANALYSIS BY WHOLESALE CUSTOMER</t>
  </si>
  <si>
    <t>MEDIPHARM</t>
  </si>
  <si>
    <t>GO PHARMA</t>
  </si>
  <si>
    <t>Forecast (estimated)</t>
  </si>
  <si>
    <t>FORECAST ACCURACY</t>
  </si>
  <si>
    <t>Actual Sales
(Month April)</t>
  </si>
  <si>
    <t>Forecast 
Accuracy (March)</t>
  </si>
  <si>
    <t>Forecast Accuracy (April)</t>
  </si>
  <si>
    <t>Qty Sold (March)</t>
  </si>
  <si>
    <t>EASY PHARMA</t>
  </si>
  <si>
    <t>Qty Sold (April)</t>
  </si>
  <si>
    <t>Total</t>
  </si>
  <si>
    <t>SOPROPHA AVRIL 1559</t>
  </si>
  <si>
    <t>SOPROPHA Avril 1207</t>
  </si>
  <si>
    <t xml:space="preserve"> PROPHASUD Avril 1653</t>
  </si>
  <si>
    <t>PROPHASUD AVRIL 1359</t>
  </si>
  <si>
    <t>Avenir Pharma Avril</t>
  </si>
  <si>
    <t>Avicenne avril 236</t>
  </si>
  <si>
    <t>CAB DE PHAR AVRIL 92</t>
  </si>
  <si>
    <t>CENTRA NORD 2510</t>
  </si>
  <si>
    <t>codiphar avril 325</t>
  </si>
  <si>
    <t>COGEPHA Avril1 693</t>
  </si>
  <si>
    <t>COPHARMA FEV: 41480</t>
  </si>
  <si>
    <t>DISTRI MED AVRIL 323</t>
  </si>
  <si>
    <t>MEDIKA KAirouan Mars</t>
  </si>
  <si>
    <t>Actual Sales
(Month May)</t>
  </si>
  <si>
    <t>Forecast Accuracy (May)</t>
  </si>
  <si>
    <t>Qty Sold (May)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</si>
</sst>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333399"/>
      </patternFill>
    </fill>
    <fill>
      <patternFill patternType="solid">
        <fgColor theme="8"/>
        <bgColor rgb="FF333399"/>
      </patternFill>
    </fill>
    <fill>
      <patternFill patternType="solid">
        <fgColor theme="0"/>
        <bgColor rgb="FF333399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rgb="FFD9D9D9"/>
      </patternFill>
    </fill>
    <fill>
      <patternFill patternType="solid">
        <fgColor rgb="FF002060"/>
        <bgColor rgb="FFF9F9F9"/>
      </patternFill>
    </fill>
  </fills>
  <borders count="19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medium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medium">
        <color theme="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4" fillId="0" borderId="0" xfId="0" applyFont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wrapText="1"/>
    </xf>
    <xf numFmtId="0" fontId="9" fillId="8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9" fontId="10" fillId="3" borderId="6" xfId="1" applyFont="1" applyFill="1" applyBorder="1" applyAlignment="1">
      <alignment horizontal="center"/>
    </xf>
    <xf numFmtId="9" fontId="11" fillId="3" borderId="6" xfId="1" applyFont="1" applyFill="1" applyBorder="1" applyAlignment="1">
      <alignment horizontal="center"/>
    </xf>
    <xf numFmtId="164" fontId="11" fillId="8" borderId="5" xfId="0" applyNumberFormat="1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164" fontId="11" fillId="8" borderId="8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/>
    </xf>
    <xf numFmtId="9" fontId="11" fillId="3" borderId="9" xfId="1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164" fontId="8" fillId="10" borderId="8" xfId="0" applyNumberFormat="1" applyFont="1" applyFill="1" applyBorder="1" applyAlignment="1">
      <alignment horizontal="center" vertical="center"/>
    </xf>
    <xf numFmtId="9" fontId="8" fillId="4" borderId="9" xfId="1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 vertical="center" wrapText="1"/>
    </xf>
    <xf numFmtId="3" fontId="5" fillId="2" borderId="17" xfId="0" applyNumberFormat="1" applyFont="1" applyFill="1" applyBorder="1" applyAlignment="1">
      <alignment horizontal="center" vertical="center" wrapText="1"/>
    </xf>
    <xf numFmtId="3" fontId="5" fillId="2" borderId="18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</cellXfs>
  <cellStyles count="4">
    <cellStyle name="Normal" xfId="0" builtinId="0"/>
    <cellStyle name="Normal 2" xfId="2" xr:uid="{B90FEFD1-0D8F-4874-B5F7-5E9ABDE69221}"/>
    <cellStyle name="Per cent 2" xfId="3" xr:uid="{1DF8D68D-71BE-40A9-9432-F43F5578A635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00FFFF"/>
      <rgbColor rgb="FF9C0006"/>
      <rgbColor rgb="FF008000"/>
      <rgbColor rgb="FF000080"/>
      <rgbColor rgb="FF7D6608"/>
      <rgbColor rgb="FF800080"/>
      <rgbColor rgb="FF217346"/>
      <rgbColor rgb="FFBFBFBF"/>
      <rgbColor rgb="FF7F7F7F"/>
      <rgbColor rgb="FF93A9CE"/>
      <rgbColor rgb="FFAB4744"/>
      <rgbColor rgb="FFFFF2CC"/>
      <rgbColor rgb="FFD6E4F7"/>
      <rgbColor rgb="FF660066"/>
      <rgbColor rgb="FFDC853E"/>
      <rgbColor rgb="FF2E5FA3"/>
      <rgbColor rgb="FFD9D9D9"/>
      <rgbColor rgb="FF000080"/>
      <rgbColor rgb="FFFF00FF"/>
      <rgbColor rgb="FFF9F9F9"/>
      <rgbColor rgb="FF00FFFF"/>
      <rgbColor rgb="FF800080"/>
      <rgbColor rgb="FF800000"/>
      <rgbColor rgb="FF4F81BD"/>
      <rgbColor rgb="FF0000FF"/>
      <rgbColor rgb="FF00CCFF"/>
      <rgbColor rgb="FFF2F2F2"/>
      <rgbColor rgb="FFC6EFCE"/>
      <rgbColor rgb="FFFFFF99"/>
      <rgbColor rgb="FFB8CD97"/>
      <rgbColor rgb="FFD09493"/>
      <rgbColor rgb="FFA99BBD"/>
      <rgbColor rgb="FFFFC7CE"/>
      <rgbColor rgb="FF4672A8"/>
      <rgbColor rgb="FF33CCCC"/>
      <rgbColor rgb="FF8AA64F"/>
      <rgbColor rgb="FFFFCC00"/>
      <rgbColor rgb="FFFF9900"/>
      <rgbColor rgb="FFE87722"/>
      <rgbColor rgb="FF725990"/>
      <rgbColor rgb="FF878787"/>
      <rgbColor rgb="FF1B3A6B"/>
      <rgbColor rgb="FF4299B0"/>
      <rgbColor rgb="FF003300"/>
      <rgbColor rgb="FF333300"/>
      <rgbColor rgb="FF9C65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85C5-3331-4B96-BCA0-C31261A11B6F}">
  <dimension ref="A1:H17"/>
  <sheetViews>
    <sheetView tabSelected="1" workbookViewId="0">
      <selection activeCell="G6" sqref="G6"/>
    </sheetView>
  </sheetViews>
  <sheetFormatPr defaultRowHeight="12" x14ac:dyDescent="0.3"/>
  <cols>
    <col min="1" max="1" width="38.26953125" style="5" customWidth="1"/>
    <col min="2" max="2" width="10.54296875" style="5" bestFit="1" customWidth="1"/>
    <col min="3" max="3" width="13.7265625" style="5" bestFit="1" customWidth="1"/>
    <col min="4" max="4" width="15.36328125" style="5" bestFit="1" customWidth="1"/>
    <col min="5" max="5" width="12.1796875" style="5" bestFit="1" customWidth="1"/>
    <col min="6" max="6" width="13.6328125" style="5" customWidth="1"/>
    <col min="7" max="7" width="12.7265625" style="5" customWidth="1"/>
    <col min="8" max="8" width="11.08984375" style="5" customWidth="1"/>
    <col min="9" max="16384" width="8.7265625" style="5"/>
  </cols>
  <sheetData>
    <row r="1" spans="1:8" ht="12.5" thickBot="1" x14ac:dyDescent="0.35">
      <c r="A1" s="2" t="s">
        <v>48</v>
      </c>
      <c r="B1" s="3"/>
      <c r="C1" s="3"/>
      <c r="D1" s="4"/>
    </row>
    <row r="2" spans="1:8" ht="36" x14ac:dyDescent="0.3">
      <c r="A2" s="6" t="s">
        <v>34</v>
      </c>
      <c r="B2" s="7" t="s">
        <v>47</v>
      </c>
      <c r="C2" s="7" t="s">
        <v>35</v>
      </c>
      <c r="D2" s="7" t="s">
        <v>50</v>
      </c>
      <c r="E2" s="7" t="s">
        <v>49</v>
      </c>
      <c r="F2" s="8" t="s">
        <v>51</v>
      </c>
      <c r="G2" s="7" t="s">
        <v>69</v>
      </c>
      <c r="H2" s="8" t="s">
        <v>70</v>
      </c>
    </row>
    <row r="3" spans="1:8" x14ac:dyDescent="0.3">
      <c r="A3" s="9" t="s">
        <v>8</v>
      </c>
      <c r="B3" s="10">
        <v>7000</v>
      </c>
      <c r="C3" s="10">
        <v>6260</v>
      </c>
      <c r="D3" s="11">
        <f t="shared" ref="D3:D17" si="0">C3/B3</f>
        <v>0.89428571428571424</v>
      </c>
      <c r="E3" s="12">
        <v>3720</v>
      </c>
      <c r="F3" s="13">
        <f>E3/B3</f>
        <v>0.53142857142857147</v>
      </c>
      <c r="G3" s="12">
        <v>170</v>
      </c>
      <c r="H3" s="13"/>
    </row>
    <row r="4" spans="1:8" x14ac:dyDescent="0.3">
      <c r="A4" s="9" t="s">
        <v>3</v>
      </c>
      <c r="B4" s="10">
        <v>4900</v>
      </c>
      <c r="C4" s="10">
        <v>11940</v>
      </c>
      <c r="D4" s="11">
        <f t="shared" si="0"/>
        <v>2.4367346938775509</v>
      </c>
      <c r="E4" s="12">
        <v>3370</v>
      </c>
      <c r="F4" s="13">
        <f t="shared" ref="F4:F17" si="1">E4/B4</f>
        <v>0.68775510204081636</v>
      </c>
      <c r="G4" s="12"/>
      <c r="H4" s="13"/>
    </row>
    <row r="5" spans="1:8" x14ac:dyDescent="0.3">
      <c r="A5" s="9" t="s">
        <v>2</v>
      </c>
      <c r="B5" s="10">
        <v>3800</v>
      </c>
      <c r="C5" s="10">
        <v>11192</v>
      </c>
      <c r="D5" s="11">
        <f t="shared" si="0"/>
        <v>2.945263157894737</v>
      </c>
      <c r="E5" s="12">
        <v>5540</v>
      </c>
      <c r="F5" s="14">
        <f t="shared" si="1"/>
        <v>1.4578947368421054</v>
      </c>
      <c r="G5" s="12">
        <v>50</v>
      </c>
      <c r="H5" s="14"/>
    </row>
    <row r="6" spans="1:8" x14ac:dyDescent="0.3">
      <c r="A6" s="9" t="s">
        <v>0</v>
      </c>
      <c r="B6" s="10">
        <v>10750</v>
      </c>
      <c r="C6" s="10">
        <v>22920</v>
      </c>
      <c r="D6" s="11">
        <f t="shared" si="0"/>
        <v>2.132093023255814</v>
      </c>
      <c r="E6" s="12">
        <v>9948</v>
      </c>
      <c r="F6" s="14">
        <f t="shared" si="1"/>
        <v>0.92539534883720931</v>
      </c>
      <c r="G6" s="12">
        <v>520</v>
      </c>
      <c r="H6" s="14"/>
    </row>
    <row r="7" spans="1:8" x14ac:dyDescent="0.3">
      <c r="A7" s="9" t="s">
        <v>1</v>
      </c>
      <c r="B7" s="10">
        <v>3500</v>
      </c>
      <c r="C7" s="10">
        <v>9960</v>
      </c>
      <c r="D7" s="11">
        <f t="shared" si="0"/>
        <v>2.8457142857142856</v>
      </c>
      <c r="E7" s="12">
        <v>4410</v>
      </c>
      <c r="F7" s="14">
        <f t="shared" si="1"/>
        <v>1.26</v>
      </c>
      <c r="G7" s="12"/>
      <c r="H7" s="14"/>
    </row>
    <row r="8" spans="1:8" x14ac:dyDescent="0.3">
      <c r="A8" s="9" t="s">
        <v>5</v>
      </c>
      <c r="B8" s="10">
        <v>1770</v>
      </c>
      <c r="C8" s="10">
        <v>4522</v>
      </c>
      <c r="D8" s="11">
        <f t="shared" si="0"/>
        <v>2.5548022598870057</v>
      </c>
      <c r="E8" s="12">
        <v>578</v>
      </c>
      <c r="F8" s="13">
        <f t="shared" si="1"/>
        <v>0.32655367231638416</v>
      </c>
      <c r="G8" s="12"/>
      <c r="H8" s="13"/>
    </row>
    <row r="9" spans="1:8" x14ac:dyDescent="0.3">
      <c r="A9" s="9" t="s">
        <v>4</v>
      </c>
      <c r="B9" s="10">
        <v>6365</v>
      </c>
      <c r="C9" s="10">
        <v>7790</v>
      </c>
      <c r="D9" s="11">
        <f t="shared" si="0"/>
        <v>1.2238805970149254</v>
      </c>
      <c r="E9" s="12">
        <v>3772</v>
      </c>
      <c r="F9" s="13">
        <f t="shared" si="1"/>
        <v>0.5926158680282797</v>
      </c>
      <c r="G9" s="12">
        <v>168</v>
      </c>
      <c r="H9" s="13"/>
    </row>
    <row r="10" spans="1:8" x14ac:dyDescent="0.3">
      <c r="A10" s="9" t="s">
        <v>9</v>
      </c>
      <c r="B10" s="10">
        <v>4400</v>
      </c>
      <c r="C10" s="10">
        <v>6588</v>
      </c>
      <c r="D10" s="11">
        <f t="shared" si="0"/>
        <v>1.4972727272727273</v>
      </c>
      <c r="E10" s="12">
        <v>3629</v>
      </c>
      <c r="F10" s="14">
        <f t="shared" si="1"/>
        <v>0.82477272727272732</v>
      </c>
      <c r="G10" s="12">
        <v>120</v>
      </c>
      <c r="H10" s="14"/>
    </row>
    <row r="11" spans="1:8" x14ac:dyDescent="0.3">
      <c r="A11" s="9" t="s">
        <v>12</v>
      </c>
      <c r="B11" s="10">
        <v>490</v>
      </c>
      <c r="C11" s="10">
        <v>258</v>
      </c>
      <c r="D11" s="15">
        <f t="shared" si="0"/>
        <v>0.52653061224489794</v>
      </c>
      <c r="E11" s="12">
        <v>79</v>
      </c>
      <c r="F11" s="13">
        <f t="shared" si="1"/>
        <v>0.16122448979591836</v>
      </c>
      <c r="G11" s="12"/>
      <c r="H11" s="13"/>
    </row>
    <row r="12" spans="1:8" x14ac:dyDescent="0.3">
      <c r="A12" s="9" t="s">
        <v>7</v>
      </c>
      <c r="B12" s="10">
        <v>1040</v>
      </c>
      <c r="C12" s="10">
        <v>375</v>
      </c>
      <c r="D12" s="15">
        <f t="shared" si="0"/>
        <v>0.36057692307692307</v>
      </c>
      <c r="E12" s="12">
        <v>111</v>
      </c>
      <c r="F12" s="13">
        <f t="shared" si="1"/>
        <v>0.10673076923076923</v>
      </c>
      <c r="G12" s="12"/>
      <c r="H12" s="13"/>
    </row>
    <row r="13" spans="1:8" x14ac:dyDescent="0.3">
      <c r="A13" s="9" t="s">
        <v>6</v>
      </c>
      <c r="B13" s="10">
        <v>765</v>
      </c>
      <c r="C13" s="10">
        <v>475</v>
      </c>
      <c r="D13" s="15">
        <f t="shared" si="0"/>
        <v>0.62091503267973858</v>
      </c>
      <c r="E13" s="12">
        <v>217</v>
      </c>
      <c r="F13" s="13">
        <f t="shared" si="1"/>
        <v>0.28366013071895424</v>
      </c>
      <c r="G13" s="12"/>
      <c r="H13" s="13"/>
    </row>
    <row r="14" spans="1:8" x14ac:dyDescent="0.3">
      <c r="A14" s="9" t="s">
        <v>11</v>
      </c>
      <c r="B14" s="10">
        <v>1150</v>
      </c>
      <c r="C14" s="10">
        <v>358</v>
      </c>
      <c r="D14" s="15">
        <f t="shared" si="0"/>
        <v>0.31130434782608696</v>
      </c>
      <c r="E14" s="12">
        <v>65</v>
      </c>
      <c r="F14" s="13">
        <f t="shared" si="1"/>
        <v>5.6521739130434782E-2</v>
      </c>
      <c r="G14" s="12"/>
      <c r="H14" s="13"/>
    </row>
    <row r="15" spans="1:8" x14ac:dyDescent="0.3">
      <c r="A15" s="9" t="s">
        <v>10</v>
      </c>
      <c r="B15" s="10">
        <v>400</v>
      </c>
      <c r="C15" s="10">
        <v>227</v>
      </c>
      <c r="D15" s="15">
        <f t="shared" si="0"/>
        <v>0.5675</v>
      </c>
      <c r="E15" s="12">
        <v>87</v>
      </c>
      <c r="F15" s="13">
        <f t="shared" si="1"/>
        <v>0.2175</v>
      </c>
      <c r="G15" s="12"/>
      <c r="H15" s="13"/>
    </row>
    <row r="16" spans="1:8" ht="12.5" thickBot="1" x14ac:dyDescent="0.35">
      <c r="A16" s="16" t="s">
        <v>13</v>
      </c>
      <c r="B16" s="17">
        <v>560</v>
      </c>
      <c r="C16" s="17">
        <v>0</v>
      </c>
      <c r="D16" s="18">
        <f t="shared" si="0"/>
        <v>0</v>
      </c>
      <c r="E16" s="19">
        <v>304</v>
      </c>
      <c r="F16" s="20">
        <f t="shared" si="1"/>
        <v>0.54285714285714282</v>
      </c>
      <c r="G16" s="19">
        <v>15</v>
      </c>
      <c r="H16" s="20"/>
    </row>
    <row r="17" spans="1:8" ht="12.5" thickBot="1" x14ac:dyDescent="0.35">
      <c r="A17" s="21" t="s">
        <v>55</v>
      </c>
      <c r="B17" s="21">
        <f>SUM(B3:B16)</f>
        <v>46890</v>
      </c>
      <c r="C17" s="21">
        <f>SUM(C3:C16)</f>
        <v>82865</v>
      </c>
      <c r="D17" s="22">
        <f t="shared" si="0"/>
        <v>1.7672211558967796</v>
      </c>
      <c r="E17" s="21">
        <f>SUM(E3:E16)</f>
        <v>35830</v>
      </c>
      <c r="F17" s="23">
        <f t="shared" si="1"/>
        <v>0.76412881211345707</v>
      </c>
      <c r="G17" s="21">
        <f>SUM(G3:G16)</f>
        <v>1043</v>
      </c>
      <c r="H17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4E46-2D1A-4332-98F4-35C9FCDEC7BC}">
  <dimension ref="A1:D46"/>
  <sheetViews>
    <sheetView topLeftCell="A27" zoomScale="90" zoomScaleNormal="90" workbookViewId="0">
      <selection activeCell="F43" sqref="F43"/>
    </sheetView>
  </sheetViews>
  <sheetFormatPr defaultRowHeight="13" x14ac:dyDescent="0.3"/>
  <cols>
    <col min="1" max="1" width="42.1796875" style="1" customWidth="1"/>
    <col min="2" max="2" width="19.08984375" style="1" bestFit="1" customWidth="1"/>
    <col min="3" max="3" width="17.54296875" style="1" bestFit="1" customWidth="1"/>
    <col min="4" max="4" width="12.453125" style="1" customWidth="1"/>
    <col min="5" max="5" width="8.7265625" style="1"/>
    <col min="6" max="6" width="21.08984375" style="1" bestFit="1" customWidth="1"/>
    <col min="7" max="16384" width="8.7265625" style="1"/>
  </cols>
  <sheetData>
    <row r="1" spans="1:4" ht="20" customHeight="1" x14ac:dyDescent="0.3">
      <c r="A1" s="37" t="s">
        <v>44</v>
      </c>
      <c r="B1" s="37"/>
      <c r="C1" s="37"/>
    </row>
    <row r="2" spans="1:4" ht="13.5" thickBot="1" x14ac:dyDescent="0.35">
      <c r="A2" s="36"/>
      <c r="B2" s="36"/>
      <c r="C2" s="26"/>
    </row>
    <row r="3" spans="1:4" x14ac:dyDescent="0.3">
      <c r="A3" s="27" t="s">
        <v>15</v>
      </c>
      <c r="B3" s="28" t="s">
        <v>52</v>
      </c>
      <c r="C3" s="29" t="s">
        <v>54</v>
      </c>
      <c r="D3" s="29" t="s">
        <v>71</v>
      </c>
    </row>
    <row r="4" spans="1:4" x14ac:dyDescent="0.3">
      <c r="A4" s="24" t="s">
        <v>16</v>
      </c>
      <c r="B4" s="25">
        <v>10121</v>
      </c>
      <c r="C4" s="30">
        <v>5616</v>
      </c>
      <c r="D4" s="30"/>
    </row>
    <row r="5" spans="1:4" x14ac:dyDescent="0.3">
      <c r="A5" s="24" t="s">
        <v>62</v>
      </c>
      <c r="B5" s="25">
        <v>7584</v>
      </c>
      <c r="C5" s="30">
        <v>1533</v>
      </c>
      <c r="D5" s="30"/>
    </row>
    <row r="6" spans="1:4" x14ac:dyDescent="0.3">
      <c r="A6" s="24" t="s">
        <v>57</v>
      </c>
      <c r="B6" s="25">
        <v>6393</v>
      </c>
      <c r="C6" s="30">
        <v>2721</v>
      </c>
      <c r="D6" s="30"/>
    </row>
    <row r="7" spans="1:4" x14ac:dyDescent="0.3">
      <c r="A7" s="24" t="s">
        <v>17</v>
      </c>
      <c r="B7" s="25">
        <v>6296</v>
      </c>
      <c r="C7" s="30">
        <v>2085</v>
      </c>
      <c r="D7" s="30"/>
    </row>
    <row r="8" spans="1:4" x14ac:dyDescent="0.3">
      <c r="A8" s="24" t="s">
        <v>18</v>
      </c>
      <c r="B8" s="25">
        <v>5425</v>
      </c>
      <c r="C8" s="30"/>
      <c r="D8" s="30"/>
    </row>
    <row r="9" spans="1:4" x14ac:dyDescent="0.3">
      <c r="A9" s="24" t="s">
        <v>67</v>
      </c>
      <c r="B9" s="25">
        <v>4970</v>
      </c>
      <c r="C9" s="30">
        <v>3188</v>
      </c>
      <c r="D9" s="30"/>
    </row>
    <row r="10" spans="1:4" x14ac:dyDescent="0.3">
      <c r="A10" s="24" t="s">
        <v>19</v>
      </c>
      <c r="B10" s="25">
        <v>3258</v>
      </c>
      <c r="C10" s="30"/>
      <c r="D10" s="30"/>
    </row>
    <row r="11" spans="1:4" x14ac:dyDescent="0.3">
      <c r="A11" s="24" t="s">
        <v>20</v>
      </c>
      <c r="B11" s="25">
        <v>3065</v>
      </c>
      <c r="C11" s="30"/>
      <c r="D11" s="30"/>
    </row>
    <row r="12" spans="1:4" x14ac:dyDescent="0.3">
      <c r="A12" s="24" t="s">
        <v>65</v>
      </c>
      <c r="B12" s="25">
        <v>2394</v>
      </c>
      <c r="C12" s="30">
        <v>852</v>
      </c>
      <c r="D12" s="30"/>
    </row>
    <row r="13" spans="1:4" x14ac:dyDescent="0.3">
      <c r="A13" s="24" t="s">
        <v>21</v>
      </c>
      <c r="B13" s="25">
        <v>2148</v>
      </c>
      <c r="C13" s="30">
        <v>405</v>
      </c>
      <c r="D13" s="30"/>
    </row>
    <row r="14" spans="1:4" x14ac:dyDescent="0.3">
      <c r="A14" s="24" t="s">
        <v>39</v>
      </c>
      <c r="B14" s="25">
        <v>1856</v>
      </c>
      <c r="C14" s="30"/>
      <c r="D14" s="30"/>
    </row>
    <row r="15" spans="1:4" x14ac:dyDescent="0.3">
      <c r="A15" s="24" t="s">
        <v>22</v>
      </c>
      <c r="B15" s="25">
        <v>1756</v>
      </c>
      <c r="C15" s="30">
        <v>404</v>
      </c>
      <c r="D15" s="30"/>
    </row>
    <row r="16" spans="1:4" x14ac:dyDescent="0.3">
      <c r="A16" s="24" t="s">
        <v>23</v>
      </c>
      <c r="B16" s="25">
        <v>1500</v>
      </c>
      <c r="C16" s="30">
        <v>1258</v>
      </c>
      <c r="D16" s="30"/>
    </row>
    <row r="17" spans="1:4" x14ac:dyDescent="0.3">
      <c r="A17" s="34" t="s">
        <v>59</v>
      </c>
      <c r="B17" s="25">
        <v>1600</v>
      </c>
      <c r="C17" s="30">
        <v>310</v>
      </c>
      <c r="D17" s="30">
        <v>295</v>
      </c>
    </row>
    <row r="18" spans="1:4" x14ac:dyDescent="0.3">
      <c r="A18" s="24" t="s">
        <v>64</v>
      </c>
      <c r="B18" s="25">
        <v>1688</v>
      </c>
      <c r="C18" s="30">
        <v>360</v>
      </c>
      <c r="D18" s="30"/>
    </row>
    <row r="19" spans="1:4" x14ac:dyDescent="0.3">
      <c r="A19" s="24" t="s">
        <v>24</v>
      </c>
      <c r="B19" s="25">
        <v>1530</v>
      </c>
      <c r="C19" s="30">
        <v>1038</v>
      </c>
      <c r="D19" s="30"/>
    </row>
    <row r="20" spans="1:4" x14ac:dyDescent="0.3">
      <c r="A20" s="24" t="s">
        <v>25</v>
      </c>
      <c r="B20" s="25">
        <v>1588</v>
      </c>
      <c r="C20" s="30">
        <v>1276</v>
      </c>
      <c r="D20" s="30"/>
    </row>
    <row r="21" spans="1:4" x14ac:dyDescent="0.3">
      <c r="A21" s="24" t="s">
        <v>26</v>
      </c>
      <c r="B21" s="25">
        <v>1628</v>
      </c>
      <c r="C21" s="30">
        <v>1284</v>
      </c>
      <c r="D21" s="30"/>
    </row>
    <row r="22" spans="1:4" x14ac:dyDescent="0.3">
      <c r="A22" s="24" t="s">
        <v>41</v>
      </c>
      <c r="B22" s="25">
        <v>1570</v>
      </c>
      <c r="C22" s="30">
        <v>1048</v>
      </c>
      <c r="D22" s="30"/>
    </row>
    <row r="23" spans="1:4" x14ac:dyDescent="0.3">
      <c r="A23" s="24" t="s">
        <v>27</v>
      </c>
      <c r="B23" s="25">
        <v>1188</v>
      </c>
      <c r="C23" s="30"/>
      <c r="D23" s="30"/>
    </row>
    <row r="24" spans="1:4" x14ac:dyDescent="0.3">
      <c r="A24" s="24" t="s">
        <v>61</v>
      </c>
      <c r="B24" s="25">
        <v>1188</v>
      </c>
      <c r="C24" s="30">
        <v>1310</v>
      </c>
      <c r="D24" s="30"/>
    </row>
    <row r="25" spans="1:4" x14ac:dyDescent="0.3">
      <c r="A25" s="24" t="s">
        <v>46</v>
      </c>
      <c r="B25" s="25">
        <v>1211</v>
      </c>
      <c r="C25" s="30"/>
      <c r="D25" s="30"/>
    </row>
    <row r="26" spans="1:4" x14ac:dyDescent="0.3">
      <c r="A26" s="24" t="s">
        <v>30</v>
      </c>
      <c r="B26" s="25">
        <v>1218</v>
      </c>
      <c r="C26" s="30"/>
      <c r="D26" s="30"/>
    </row>
    <row r="27" spans="1:4" x14ac:dyDescent="0.3">
      <c r="A27" s="24" t="s">
        <v>28</v>
      </c>
      <c r="B27" s="25">
        <v>1229</v>
      </c>
      <c r="C27" s="30">
        <v>984</v>
      </c>
      <c r="D27" s="30"/>
    </row>
    <row r="28" spans="1:4" x14ac:dyDescent="0.3">
      <c r="A28" s="24" t="s">
        <v>60</v>
      </c>
      <c r="B28" s="25">
        <v>1016</v>
      </c>
      <c r="C28" s="30">
        <v>1380</v>
      </c>
      <c r="D28" s="30"/>
    </row>
    <row r="29" spans="1:4" x14ac:dyDescent="0.3">
      <c r="A29" s="24" t="s">
        <v>29</v>
      </c>
      <c r="B29" s="25">
        <v>1048</v>
      </c>
      <c r="C29" s="30"/>
      <c r="D29" s="30"/>
    </row>
    <row r="30" spans="1:4" x14ac:dyDescent="0.3">
      <c r="A30" s="24" t="s">
        <v>36</v>
      </c>
      <c r="B30" s="25">
        <v>986</v>
      </c>
      <c r="C30" s="30"/>
      <c r="D30" s="30"/>
    </row>
    <row r="31" spans="1:4" x14ac:dyDescent="0.3">
      <c r="A31" s="24" t="s">
        <v>45</v>
      </c>
      <c r="B31" s="25">
        <v>1018</v>
      </c>
      <c r="C31" s="30"/>
      <c r="D31" s="30"/>
    </row>
    <row r="32" spans="1:4" x14ac:dyDescent="0.3">
      <c r="A32" s="24" t="s">
        <v>38</v>
      </c>
      <c r="B32" s="25">
        <v>981</v>
      </c>
      <c r="C32" s="30"/>
      <c r="D32" s="30"/>
    </row>
    <row r="33" spans="1:4" x14ac:dyDescent="0.3">
      <c r="A33" s="24" t="s">
        <v>43</v>
      </c>
      <c r="B33" s="25">
        <v>876</v>
      </c>
      <c r="C33" s="30"/>
      <c r="D33" s="30">
        <v>748</v>
      </c>
    </row>
    <row r="34" spans="1:4" x14ac:dyDescent="0.3">
      <c r="A34" s="24" t="s">
        <v>58</v>
      </c>
      <c r="B34" s="25">
        <v>832</v>
      </c>
      <c r="C34" s="30">
        <v>462</v>
      </c>
      <c r="D34" s="30"/>
    </row>
    <row r="35" spans="1:4" x14ac:dyDescent="0.3">
      <c r="A35" s="24" t="s">
        <v>40</v>
      </c>
      <c r="B35" s="25">
        <v>713</v>
      </c>
      <c r="C35" s="30">
        <v>425</v>
      </c>
      <c r="D35" s="30"/>
    </row>
    <row r="36" spans="1:4" x14ac:dyDescent="0.3">
      <c r="A36" s="24" t="s">
        <v>31</v>
      </c>
      <c r="B36" s="25">
        <v>588</v>
      </c>
      <c r="C36" s="30"/>
      <c r="D36" s="30"/>
    </row>
    <row r="37" spans="1:4" x14ac:dyDescent="0.3">
      <c r="A37" s="24" t="s">
        <v>32</v>
      </c>
      <c r="B37" s="25">
        <v>718</v>
      </c>
      <c r="C37" s="30"/>
      <c r="D37" s="30"/>
    </row>
    <row r="38" spans="1:4" x14ac:dyDescent="0.3">
      <c r="A38" s="24" t="s">
        <v>33</v>
      </c>
      <c r="B38" s="25">
        <v>603</v>
      </c>
      <c r="C38" s="30">
        <v>543</v>
      </c>
      <c r="D38" s="30"/>
    </row>
    <row r="39" spans="1:4" x14ac:dyDescent="0.3">
      <c r="A39" s="24" t="s">
        <v>42</v>
      </c>
      <c r="B39" s="25">
        <v>620</v>
      </c>
      <c r="C39" s="30"/>
      <c r="D39" s="30"/>
    </row>
    <row r="40" spans="1:4" x14ac:dyDescent="0.3">
      <c r="A40" s="24" t="s">
        <v>37</v>
      </c>
      <c r="B40" s="25">
        <v>320</v>
      </c>
      <c r="C40" s="30"/>
      <c r="D40" s="30"/>
    </row>
    <row r="41" spans="1:4" x14ac:dyDescent="0.3">
      <c r="A41" s="24" t="s">
        <v>68</v>
      </c>
      <c r="B41" s="25"/>
      <c r="C41" s="30">
        <v>3428</v>
      </c>
      <c r="D41" s="30"/>
    </row>
    <row r="42" spans="1:4" x14ac:dyDescent="0.3">
      <c r="A42" s="24" t="s">
        <v>53</v>
      </c>
      <c r="B42" s="25"/>
      <c r="C42" s="30">
        <v>90</v>
      </c>
      <c r="D42" s="30"/>
    </row>
    <row r="43" spans="1:4" x14ac:dyDescent="0.3">
      <c r="A43" s="24" t="s">
        <v>56</v>
      </c>
      <c r="B43" s="35"/>
      <c r="C43" s="30">
        <v>1008</v>
      </c>
      <c r="D43" s="30"/>
    </row>
    <row r="44" spans="1:4" x14ac:dyDescent="0.3">
      <c r="A44" s="24" t="s">
        <v>63</v>
      </c>
      <c r="B44" s="35"/>
      <c r="C44" s="30">
        <v>1406</v>
      </c>
      <c r="D44" s="30"/>
    </row>
    <row r="45" spans="1:4" x14ac:dyDescent="0.3">
      <c r="A45" s="24" t="s">
        <v>66</v>
      </c>
      <c r="B45" s="35"/>
      <c r="C45" s="30">
        <v>1416</v>
      </c>
      <c r="D45" s="30"/>
    </row>
    <row r="46" spans="1:4" ht="13.5" thickBot="1" x14ac:dyDescent="0.35">
      <c r="A46" s="31" t="s">
        <v>14</v>
      </c>
      <c r="B46" s="32">
        <f>SUM(B4:B42)</f>
        <v>82723</v>
      </c>
      <c r="C46" s="33">
        <f>SUM(C4:C45)</f>
        <v>35830</v>
      </c>
      <c r="D46" s="33">
        <f>SUM(D4:D45)</f>
        <v>1043</v>
      </c>
    </row>
  </sheetData>
  <autoFilter ref="A3:C46" xr:uid="{E9C04E46-2D1A-4332-98F4-35C9FCDEC7BC}"/>
  <mergeCells count="2">
    <mergeCell ref="A2:B2"/>
    <mergeCell ref="A1:C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ed276b-5fdc-4b56-a272-93cb60c031d3}" enabled="0" method="" siteId="{39ed276b-5fdc-4b56-a272-93cb60c031d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Monthwise Sales Data</vt:lpstr>
      <vt:lpstr>Wholesaler Sales 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Manoj Kumar Jadhav</cp:lastModifiedBy>
  <cp:revision>1</cp:revision>
  <dcterms:created xsi:type="dcterms:W3CDTF">2026-03-25T14:53:25Z</dcterms:created>
  <dcterms:modified xsi:type="dcterms:W3CDTF">2026-05-05T19:46:48Z</dcterms:modified>
  <dc:language>en-US</dc:language>
</cp:coreProperties>
</file>