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enshilife-my.sharepoint.com/personal/3240_tenshi_co_in/Documents/Desktop/"/>
    </mc:Choice>
  </mc:AlternateContent>
  <xr:revisionPtr revIDLastSave="2" documentId="8_{70EF8316-5CB6-4885-B391-A0616DF5482E}" xr6:coauthVersionLast="47" xr6:coauthVersionMax="47" xr10:uidLastSave="{439512AB-88B4-400C-8190-7B6B12A6E5AA}"/>
  <bookViews>
    <workbookView xWindow="-110" yWindow="-110" windowWidth="19420" windowHeight="10300" xr2:uid="{E639BC54-8239-4C58-87A4-1BADA04CAE24}"/>
  </bookViews>
  <sheets>
    <sheet name="PCT Sales Data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" i="4" l="1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9" i="4"/>
  <c r="G8" i="4"/>
  <c r="G7" i="4"/>
  <c r="G6" i="4"/>
  <c r="G5" i="4"/>
  <c r="G4" i="4"/>
  <c r="G3" i="4"/>
  <c r="G2" i="4"/>
</calcChain>
</file>

<file path=xl/sharedStrings.xml><?xml version="1.0" encoding="utf-8"?>
<sst xmlns="http://schemas.openxmlformats.org/spreadsheetml/2006/main" count="45" uniqueCount="42">
  <si>
    <t>BRAND NAME</t>
  </si>
  <si>
    <t>XANAX RETARD 0.5mg</t>
  </si>
  <si>
    <t>XANAX RETARD 1mg</t>
  </si>
  <si>
    <t>XANAX 0.75mg/ml Gttes.Buv.</t>
  </si>
  <si>
    <t>EFEXOR. XL 150mg Gél. LP</t>
  </si>
  <si>
    <t>LYRICA 75mg Gél. Bt56</t>
  </si>
  <si>
    <t xml:space="preserve">EFFEXOR LP 37.5mg Gél. LP </t>
  </si>
  <si>
    <t>CADUET 10mg/10mg Comp.Pell.</t>
  </si>
  <si>
    <t xml:space="preserve">CADUET 5mg/10mg Comp.Pell. </t>
  </si>
  <si>
    <t xml:space="preserve">LYRICA 150mg Gél. </t>
  </si>
  <si>
    <t>LYRICA 75mg Gél. Bt14</t>
  </si>
  <si>
    <t xml:space="preserve">TAHOR 80mg Comp.Pell. </t>
  </si>
  <si>
    <t>EFFEXOR LP 75mg Gél. LP Bt30</t>
  </si>
  <si>
    <t>XALACOM 50mcg + 5mg/ml Collyre Fl 2,5ml</t>
  </si>
  <si>
    <t>XALATAN 50mcg/ml Collyre Fl 2,5ml</t>
  </si>
  <si>
    <t>VIAGRA 100mg Comp.Pell. Bt4</t>
  </si>
  <si>
    <t>VIAGRA 50mg Comp.Pell. Bt4</t>
  </si>
  <si>
    <t>VIAGRA 25mg Comp.Pell. Bt4</t>
  </si>
  <si>
    <t>FLECAINE 100mg Comp Sec Bt30</t>
  </si>
  <si>
    <t>FLECAINE LP 200mg Gelules Bt30</t>
  </si>
  <si>
    <t>FLECAINE LP 50mg Gelules Bt30</t>
  </si>
  <si>
    <t>FLECAINE LP 100mg Gelules Bt30</t>
  </si>
  <si>
    <t>VALPROATE De Sodium Viatris 500mg Cp Pell Sec LP Fl30 Officine</t>
  </si>
  <si>
    <t>ZOLPIDEM Viatris 10mg Comp,Pell,Sec Bt14</t>
  </si>
  <si>
    <t>DOBUTAMINE Viatris 250mg/20ml S° Inj Bt10/20ml</t>
  </si>
  <si>
    <t>METHOTREXATE Viatris 50mg/2ml S° Inj Bt10 Fl 2ml</t>
  </si>
  <si>
    <t>AZATHIOPRINE Viatris 50mg Comp Pell Sec Bt100</t>
  </si>
  <si>
    <t>SUFENTANIL Viatris 10µg/2ml S° Inj Bt20 Fl 2ml</t>
  </si>
  <si>
    <t>SUFENTANIL Viatris 50µg/10ml S° Inj Bt20 Fl 10ml</t>
  </si>
  <si>
    <t>CAPECITABINE Viatris 500mg Cp pell Bt120</t>
  </si>
  <si>
    <t>PIPER/TAZO Viatris 2g/250mg Pdre.P.Sol.P.Perf Bt1 Fl</t>
  </si>
  <si>
    <t>PIPER/TAZO Viaris 4g/500mg Pdre.P.Sol.P.Perf Bt1 Fl</t>
  </si>
  <si>
    <t>LEPONEX 25mg Cp sec Bt50</t>
  </si>
  <si>
    <t>LEPONEX 100mg Cp sec Bt50</t>
  </si>
  <si>
    <t>January Sales</t>
  </si>
  <si>
    <t>Feb Sales</t>
  </si>
  <si>
    <t>MOH</t>
  </si>
  <si>
    <t>Average Monthly Sales</t>
  </si>
  <si>
    <t>SL.no</t>
  </si>
  <si>
    <t>Feb Closing Inventory at PCT</t>
  </si>
  <si>
    <t>March Supplies from Viatris to PCT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</si>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</sst>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_-* #,##0.00_-;\-* #,##0.00_-;_-* &quot;-&quot;??_-;_-@_-"/>
    <numFmt numFmtId="166" formatCode="_-* #,##0_-;\-* #,##0_-;_-* &quot;-&quot;??_-;_-@_-"/>
    <numFmt numFmtId="175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Segoe UI"/>
      <family val="2"/>
      <charset val="1"/>
    </font>
    <font>
      <b/>
      <sz val="8"/>
      <name val="Times New Roman"/>
      <family val="1"/>
    </font>
    <font>
      <sz val="8"/>
      <name val="Times New Roman"/>
      <family val="1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0" fontId="2" fillId="0" borderId="0"/>
  </cellStyleXfs>
  <cellXfs count="24">
    <xf numFmtId="0" fontId="0" fillId="0" borderId="0" xfId="0"/>
    <xf numFmtId="0" fontId="7" fillId="2" borderId="1" xfId="0" applyFont="1" applyFill="1" applyBorder="1" applyAlignment="1">
      <alignment horizontal="center" vertical="center"/>
    </xf>
    <xf numFmtId="0" fontId="7" fillId="2" borderId="2" xfId="2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5" fillId="3" borderId="5" xfId="2" applyFont="1" applyFill="1" applyBorder="1" applyAlignment="1">
      <alignment horizontal="center" vertical="center"/>
    </xf>
    <xf numFmtId="0" fontId="3" fillId="3" borderId="5" xfId="1" applyNumberFormat="1" applyFont="1" applyFill="1" applyBorder="1" applyAlignment="1">
      <alignment horizontal="center" vertical="center"/>
    </xf>
    <xf numFmtId="0" fontId="4" fillId="3" borderId="5" xfId="1" applyNumberFormat="1" applyFont="1" applyFill="1" applyBorder="1" applyAlignment="1">
      <alignment horizontal="center" vertical="center"/>
    </xf>
    <xf numFmtId="0" fontId="5" fillId="3" borderId="5" xfId="1" applyNumberFormat="1" applyFont="1" applyFill="1" applyBorder="1" applyAlignment="1">
      <alignment horizontal="center" vertical="center"/>
    </xf>
    <xf numFmtId="175" fontId="5" fillId="3" borderId="5" xfId="0" applyNumberFormat="1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5" xfId="0" applyNumberFormat="1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5" fillId="3" borderId="8" xfId="2" applyFont="1" applyFill="1" applyBorder="1" applyAlignment="1">
      <alignment horizontal="center" vertical="center"/>
    </xf>
    <xf numFmtId="0" fontId="3" fillId="3" borderId="8" xfId="1" applyNumberFormat="1" applyFont="1" applyFill="1" applyBorder="1" applyAlignment="1">
      <alignment horizontal="center" vertical="center"/>
    </xf>
    <xf numFmtId="0" fontId="4" fillId="3" borderId="8" xfId="1" applyNumberFormat="1" applyFont="1" applyFill="1" applyBorder="1" applyAlignment="1">
      <alignment horizontal="center" vertical="center"/>
    </xf>
    <xf numFmtId="0" fontId="5" fillId="3" borderId="8" xfId="1" applyNumberFormat="1" applyFont="1" applyFill="1" applyBorder="1" applyAlignment="1">
      <alignment horizontal="center" vertical="center"/>
    </xf>
    <xf numFmtId="175" fontId="5" fillId="3" borderId="8" xfId="0" applyNumberFormat="1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166" fontId="3" fillId="0" borderId="0" xfId="1" applyNumberFormat="1" applyFont="1" applyAlignment="1">
      <alignment horizontal="center" vertical="center"/>
    </xf>
    <xf numFmtId="0" fontId="7" fillId="2" borderId="2" xfId="2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Normal 2" xfId="2" xr:uid="{4E3C5034-DEEC-4062-9706-4FC71B10E1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F895B-F312-4463-A80B-D1272498AD6D}">
  <dimension ref="A1:H35"/>
  <sheetViews>
    <sheetView tabSelected="1" workbookViewId="0">
      <selection activeCell="F5" sqref="F5"/>
    </sheetView>
  </sheetViews>
  <sheetFormatPr defaultRowHeight="10.5" x14ac:dyDescent="0.35"/>
  <cols>
    <col min="1" max="1" width="4" style="6" bestFit="1" customWidth="1"/>
    <col min="2" max="2" width="41.26953125" style="6" customWidth="1"/>
    <col min="3" max="3" width="12.36328125" style="6" customWidth="1"/>
    <col min="4" max="4" width="10" style="6" customWidth="1"/>
    <col min="5" max="5" width="7.54296875" style="6" customWidth="1"/>
    <col min="6" max="6" width="12.7265625" style="6" customWidth="1"/>
    <col min="7" max="7" width="4.81640625" style="6" customWidth="1"/>
    <col min="8" max="8" width="14.26953125" style="6" customWidth="1"/>
    <col min="9" max="16384" width="8.7265625" style="6"/>
  </cols>
  <sheetData>
    <row r="1" spans="1:8" ht="21" x14ac:dyDescent="0.35">
      <c r="A1" s="1" t="s">
        <v>38</v>
      </c>
      <c r="B1" s="2" t="s">
        <v>0</v>
      </c>
      <c r="C1" s="23" t="s">
        <v>37</v>
      </c>
      <c r="D1" s="3" t="s">
        <v>34</v>
      </c>
      <c r="E1" s="3" t="s">
        <v>35</v>
      </c>
      <c r="F1" s="4" t="s">
        <v>39</v>
      </c>
      <c r="G1" s="3" t="s">
        <v>36</v>
      </c>
      <c r="H1" s="5" t="s">
        <v>40</v>
      </c>
    </row>
    <row r="2" spans="1:8" x14ac:dyDescent="0.35">
      <c r="A2" s="7">
        <v>1</v>
      </c>
      <c r="B2" s="8" t="s">
        <v>22</v>
      </c>
      <c r="C2" s="9">
        <v>6189</v>
      </c>
      <c r="D2" s="10">
        <v>4372</v>
      </c>
      <c r="E2" s="10">
        <v>5192</v>
      </c>
      <c r="F2" s="11">
        <v>20371</v>
      </c>
      <c r="G2" s="12">
        <f>F2/C2</f>
        <v>3.2914848925513005</v>
      </c>
      <c r="H2" s="13"/>
    </row>
    <row r="3" spans="1:8" x14ac:dyDescent="0.35">
      <c r="A3" s="7">
        <v>2</v>
      </c>
      <c r="B3" s="8" t="s">
        <v>23</v>
      </c>
      <c r="C3" s="9">
        <v>1816</v>
      </c>
      <c r="D3" s="10">
        <v>1900</v>
      </c>
      <c r="E3" s="10">
        <v>1740</v>
      </c>
      <c r="F3" s="11">
        <v>2921</v>
      </c>
      <c r="G3" s="12">
        <f>F3/C3</f>
        <v>1.6084801762114538</v>
      </c>
      <c r="H3" s="13">
        <v>5000</v>
      </c>
    </row>
    <row r="4" spans="1:8" x14ac:dyDescent="0.35">
      <c r="A4" s="7">
        <v>3</v>
      </c>
      <c r="B4" s="8" t="s">
        <v>24</v>
      </c>
      <c r="C4" s="9">
        <v>393</v>
      </c>
      <c r="D4" s="10">
        <v>13</v>
      </c>
      <c r="E4" s="10">
        <v>1528</v>
      </c>
      <c r="F4" s="11">
        <v>2696</v>
      </c>
      <c r="G4" s="12">
        <f>F4/C4</f>
        <v>6.8600508905852413</v>
      </c>
      <c r="H4" s="13"/>
    </row>
    <row r="5" spans="1:8" x14ac:dyDescent="0.35">
      <c r="A5" s="7">
        <v>4</v>
      </c>
      <c r="B5" s="8" t="s">
        <v>25</v>
      </c>
      <c r="C5" s="9">
        <v>79</v>
      </c>
      <c r="D5" s="10">
        <v>208</v>
      </c>
      <c r="E5" s="10">
        <v>51</v>
      </c>
      <c r="F5" s="11">
        <v>256</v>
      </c>
      <c r="G5" s="12">
        <f>F5/C5</f>
        <v>3.240506329113924</v>
      </c>
      <c r="H5" s="13"/>
    </row>
    <row r="6" spans="1:8" x14ac:dyDescent="0.35">
      <c r="A6" s="7">
        <v>5</v>
      </c>
      <c r="B6" s="8" t="s">
        <v>26</v>
      </c>
      <c r="C6" s="9">
        <v>6028</v>
      </c>
      <c r="D6" s="10">
        <v>4246</v>
      </c>
      <c r="E6" s="10">
        <v>7769</v>
      </c>
      <c r="F6" s="11">
        <v>35820</v>
      </c>
      <c r="G6" s="12">
        <f>F6/C6</f>
        <v>5.9422694094226944</v>
      </c>
      <c r="H6" s="13"/>
    </row>
    <row r="7" spans="1:8" x14ac:dyDescent="0.35">
      <c r="A7" s="7">
        <v>6</v>
      </c>
      <c r="B7" s="8" t="s">
        <v>27</v>
      </c>
      <c r="C7" s="9">
        <v>721</v>
      </c>
      <c r="D7" s="10">
        <v>627</v>
      </c>
      <c r="E7" s="10">
        <v>0</v>
      </c>
      <c r="F7" s="11">
        <v>228</v>
      </c>
      <c r="G7" s="12">
        <f>F7/C7</f>
        <v>0.31622746185852985</v>
      </c>
      <c r="H7" s="13"/>
    </row>
    <row r="8" spans="1:8" x14ac:dyDescent="0.35">
      <c r="A8" s="7">
        <v>7</v>
      </c>
      <c r="B8" s="8" t="s">
        <v>29</v>
      </c>
      <c r="C8" s="9">
        <v>233</v>
      </c>
      <c r="D8" s="10">
        <v>940</v>
      </c>
      <c r="E8" s="10">
        <v>513</v>
      </c>
      <c r="F8" s="11">
        <v>6808</v>
      </c>
      <c r="G8" s="12">
        <f>F8/C8</f>
        <v>29.218884120171673</v>
      </c>
      <c r="H8" s="13"/>
    </row>
    <row r="9" spans="1:8" x14ac:dyDescent="0.35">
      <c r="A9" s="7">
        <v>8</v>
      </c>
      <c r="B9" s="8" t="s">
        <v>28</v>
      </c>
      <c r="C9" s="9">
        <v>523</v>
      </c>
      <c r="D9" s="10">
        <v>557</v>
      </c>
      <c r="E9" s="10">
        <v>713</v>
      </c>
      <c r="F9" s="11">
        <v>984</v>
      </c>
      <c r="G9" s="12">
        <f>F9/C9</f>
        <v>1.881453154875717</v>
      </c>
      <c r="H9" s="13"/>
    </row>
    <row r="10" spans="1:8" x14ac:dyDescent="0.35">
      <c r="A10" s="7">
        <v>9</v>
      </c>
      <c r="B10" s="8" t="s">
        <v>30</v>
      </c>
      <c r="C10" s="9">
        <v>272</v>
      </c>
      <c r="D10" s="10">
        <v>200</v>
      </c>
      <c r="E10" s="10">
        <v>300</v>
      </c>
      <c r="F10" s="14"/>
      <c r="G10" s="12"/>
      <c r="H10" s="13"/>
    </row>
    <row r="11" spans="1:8" x14ac:dyDescent="0.35">
      <c r="A11" s="7">
        <v>10</v>
      </c>
      <c r="B11" s="8" t="s">
        <v>31</v>
      </c>
      <c r="C11" s="9">
        <v>0</v>
      </c>
      <c r="D11" s="10">
        <v>0</v>
      </c>
      <c r="E11" s="10">
        <v>0</v>
      </c>
      <c r="F11" s="14"/>
      <c r="G11" s="12"/>
      <c r="H11" s="13"/>
    </row>
    <row r="12" spans="1:8" x14ac:dyDescent="0.35">
      <c r="A12" s="7">
        <v>11</v>
      </c>
      <c r="B12" s="8" t="s">
        <v>32</v>
      </c>
      <c r="C12" s="9">
        <v>244</v>
      </c>
      <c r="D12" s="10">
        <v>1</v>
      </c>
      <c r="E12" s="10">
        <v>1</v>
      </c>
      <c r="F12" s="14"/>
      <c r="G12" s="12"/>
      <c r="H12" s="13">
        <v>2400</v>
      </c>
    </row>
    <row r="13" spans="1:8" x14ac:dyDescent="0.35">
      <c r="A13" s="7">
        <v>12</v>
      </c>
      <c r="B13" s="8" t="s">
        <v>33</v>
      </c>
      <c r="C13" s="9">
        <v>1669</v>
      </c>
      <c r="D13" s="10"/>
      <c r="E13" s="10">
        <v>0</v>
      </c>
      <c r="F13" s="14"/>
      <c r="G13" s="12"/>
      <c r="H13" s="13">
        <v>12750</v>
      </c>
    </row>
    <row r="14" spans="1:8" x14ac:dyDescent="0.35">
      <c r="A14" s="7">
        <v>13</v>
      </c>
      <c r="B14" s="8" t="s">
        <v>18</v>
      </c>
      <c r="C14" s="9">
        <v>2889</v>
      </c>
      <c r="D14" s="10">
        <v>3279</v>
      </c>
      <c r="E14" s="10">
        <v>3486</v>
      </c>
      <c r="F14" s="11">
        <v>27980</v>
      </c>
      <c r="G14" s="12">
        <f>F14/C14</f>
        <v>9.6850121149186563</v>
      </c>
      <c r="H14" s="13" t="s">
        <v>41</v>
      </c>
    </row>
    <row r="15" spans="1:8" x14ac:dyDescent="0.35">
      <c r="A15" s="7">
        <v>14</v>
      </c>
      <c r="B15" s="8" t="s">
        <v>19</v>
      </c>
      <c r="C15" s="9">
        <v>1746</v>
      </c>
      <c r="D15" s="10">
        <v>2032</v>
      </c>
      <c r="E15" s="10">
        <v>2506</v>
      </c>
      <c r="F15" s="11">
        <v>1727</v>
      </c>
      <c r="G15" s="12">
        <f>F15/C15</f>
        <v>0.98911798396334483</v>
      </c>
      <c r="H15" s="13">
        <v>6500</v>
      </c>
    </row>
    <row r="16" spans="1:8" x14ac:dyDescent="0.35">
      <c r="A16" s="7">
        <v>15</v>
      </c>
      <c r="B16" s="8" t="s">
        <v>20</v>
      </c>
      <c r="C16" s="9">
        <v>1471</v>
      </c>
      <c r="D16" s="10">
        <v>1777</v>
      </c>
      <c r="E16" s="10">
        <v>2141</v>
      </c>
      <c r="F16" s="11">
        <v>2223</v>
      </c>
      <c r="G16" s="12">
        <f>F16/C16</f>
        <v>1.5112168592794017</v>
      </c>
      <c r="H16" s="13" t="s">
        <v>41</v>
      </c>
    </row>
    <row r="17" spans="1:8" x14ac:dyDescent="0.35">
      <c r="A17" s="7">
        <v>16</v>
      </c>
      <c r="B17" s="8" t="s">
        <v>21</v>
      </c>
      <c r="C17" s="9">
        <v>4334</v>
      </c>
      <c r="D17" s="10">
        <v>4514</v>
      </c>
      <c r="E17" s="10">
        <v>5157</v>
      </c>
      <c r="F17" s="11">
        <v>10019</v>
      </c>
      <c r="G17" s="12">
        <f>F17/C17</f>
        <v>2.3117212736502077</v>
      </c>
      <c r="H17" s="13">
        <v>12000</v>
      </c>
    </row>
    <row r="18" spans="1:8" x14ac:dyDescent="0.35">
      <c r="A18" s="7">
        <v>17</v>
      </c>
      <c r="B18" s="8" t="s">
        <v>1</v>
      </c>
      <c r="C18" s="9">
        <v>3839</v>
      </c>
      <c r="D18" s="10">
        <v>3373</v>
      </c>
      <c r="E18" s="10">
        <v>3668</v>
      </c>
      <c r="F18" s="11">
        <v>3877</v>
      </c>
      <c r="G18" s="12">
        <f>F18/C18</f>
        <v>1.0098984110445428</v>
      </c>
      <c r="H18" s="13">
        <v>10000</v>
      </c>
    </row>
    <row r="19" spans="1:8" x14ac:dyDescent="0.35">
      <c r="A19" s="7">
        <v>18</v>
      </c>
      <c r="B19" s="8" t="s">
        <v>2</v>
      </c>
      <c r="C19" s="9">
        <v>5108</v>
      </c>
      <c r="D19" s="10">
        <v>3593</v>
      </c>
      <c r="E19" s="10">
        <v>4854</v>
      </c>
      <c r="F19" s="11">
        <v>17181</v>
      </c>
      <c r="G19" s="12">
        <f>F19/C19</f>
        <v>3.3635473766640565</v>
      </c>
      <c r="H19" s="13">
        <v>6543</v>
      </c>
    </row>
    <row r="20" spans="1:8" x14ac:dyDescent="0.35">
      <c r="A20" s="7">
        <v>19</v>
      </c>
      <c r="B20" s="8" t="s">
        <v>3</v>
      </c>
      <c r="C20" s="9">
        <v>4251</v>
      </c>
      <c r="D20" s="10">
        <v>2576</v>
      </c>
      <c r="E20" s="10">
        <v>4650</v>
      </c>
      <c r="F20" s="11">
        <v>11847</v>
      </c>
      <c r="G20" s="12">
        <f>F20/C20</f>
        <v>2.7868736767819335</v>
      </c>
      <c r="H20" s="13">
        <v>10000</v>
      </c>
    </row>
    <row r="21" spans="1:8" x14ac:dyDescent="0.35">
      <c r="A21" s="7">
        <v>20</v>
      </c>
      <c r="B21" s="8" t="s">
        <v>4</v>
      </c>
      <c r="C21" s="9">
        <v>83</v>
      </c>
      <c r="D21" s="10">
        <v>34</v>
      </c>
      <c r="E21" s="10">
        <v>23</v>
      </c>
      <c r="F21" s="11">
        <v>62</v>
      </c>
      <c r="G21" s="12">
        <f>F21/C21</f>
        <v>0.74698795180722888</v>
      </c>
      <c r="H21" s="13">
        <v>500</v>
      </c>
    </row>
    <row r="22" spans="1:8" x14ac:dyDescent="0.35">
      <c r="A22" s="7">
        <v>21</v>
      </c>
      <c r="B22" s="8" t="s">
        <v>5</v>
      </c>
      <c r="C22" s="9">
        <v>356</v>
      </c>
      <c r="D22" s="10">
        <v>288</v>
      </c>
      <c r="E22" s="10">
        <v>372</v>
      </c>
      <c r="F22" s="11">
        <v>832</v>
      </c>
      <c r="G22" s="12">
        <f>F22/C22</f>
        <v>2.3370786516853932</v>
      </c>
      <c r="H22" s="13" t="s">
        <v>41</v>
      </c>
    </row>
    <row r="23" spans="1:8" x14ac:dyDescent="0.35">
      <c r="A23" s="7">
        <v>22</v>
      </c>
      <c r="B23" s="8" t="s">
        <v>6</v>
      </c>
      <c r="C23" s="9">
        <v>1518</v>
      </c>
      <c r="D23" s="10">
        <v>788</v>
      </c>
      <c r="E23" s="10">
        <v>2360</v>
      </c>
      <c r="F23" s="11">
        <v>4850</v>
      </c>
      <c r="G23" s="12">
        <f>F23/C23</f>
        <v>3.1949934123847168</v>
      </c>
      <c r="H23" s="13">
        <v>3000</v>
      </c>
    </row>
    <row r="24" spans="1:8" x14ac:dyDescent="0.35">
      <c r="A24" s="7">
        <v>23</v>
      </c>
      <c r="B24" s="8" t="s">
        <v>12</v>
      </c>
      <c r="C24" s="9">
        <v>5375</v>
      </c>
      <c r="D24" s="10">
        <v>4334</v>
      </c>
      <c r="E24" s="10">
        <v>6251</v>
      </c>
      <c r="F24" s="11">
        <v>16776</v>
      </c>
      <c r="G24" s="12">
        <f>F24/C24</f>
        <v>3.1211162790697675</v>
      </c>
      <c r="H24" s="13">
        <v>5040</v>
      </c>
    </row>
    <row r="25" spans="1:8" x14ac:dyDescent="0.35">
      <c r="A25" s="7">
        <v>24</v>
      </c>
      <c r="B25" s="8" t="s">
        <v>14</v>
      </c>
      <c r="C25" s="9">
        <v>6606</v>
      </c>
      <c r="D25" s="10">
        <v>5820</v>
      </c>
      <c r="E25" s="10">
        <v>6799</v>
      </c>
      <c r="F25" s="11">
        <v>20314</v>
      </c>
      <c r="G25" s="12">
        <f>F25/C25</f>
        <v>3.0750832576445655</v>
      </c>
      <c r="H25" s="13">
        <v>14000</v>
      </c>
    </row>
    <row r="26" spans="1:8" x14ac:dyDescent="0.35">
      <c r="A26" s="7">
        <v>25</v>
      </c>
      <c r="B26" s="8" t="s">
        <v>7</v>
      </c>
      <c r="C26" s="9">
        <v>337</v>
      </c>
      <c r="D26" s="10">
        <v>224</v>
      </c>
      <c r="E26" s="10">
        <v>260</v>
      </c>
      <c r="F26" s="11">
        <v>1640</v>
      </c>
      <c r="G26" s="12">
        <f>F26/C26</f>
        <v>4.8664688427299705</v>
      </c>
      <c r="H26" s="13">
        <v>750</v>
      </c>
    </row>
    <row r="27" spans="1:8" x14ac:dyDescent="0.35">
      <c r="A27" s="7">
        <v>26</v>
      </c>
      <c r="B27" s="8" t="s">
        <v>8</v>
      </c>
      <c r="C27" s="9">
        <v>775</v>
      </c>
      <c r="D27" s="10">
        <v>670</v>
      </c>
      <c r="E27" s="10">
        <v>838</v>
      </c>
      <c r="F27" s="11">
        <v>2044</v>
      </c>
      <c r="G27" s="12">
        <f>F27/C27</f>
        <v>2.6374193548387095</v>
      </c>
      <c r="H27" s="13">
        <v>1500</v>
      </c>
    </row>
    <row r="28" spans="1:8" x14ac:dyDescent="0.35">
      <c r="A28" s="7">
        <v>27</v>
      </c>
      <c r="B28" s="8" t="s">
        <v>9</v>
      </c>
      <c r="C28" s="9">
        <v>543</v>
      </c>
      <c r="D28" s="10">
        <v>765</v>
      </c>
      <c r="E28" s="10">
        <v>528</v>
      </c>
      <c r="F28" s="11">
        <v>1432</v>
      </c>
      <c r="G28" s="12">
        <f>F28/C28</f>
        <v>2.6372007366482504</v>
      </c>
      <c r="H28" s="13">
        <v>1000</v>
      </c>
    </row>
    <row r="29" spans="1:8" x14ac:dyDescent="0.35">
      <c r="A29" s="7">
        <v>28</v>
      </c>
      <c r="B29" s="8" t="s">
        <v>10</v>
      </c>
      <c r="C29" s="9">
        <v>700</v>
      </c>
      <c r="D29" s="10">
        <v>450</v>
      </c>
      <c r="E29" s="10">
        <v>630</v>
      </c>
      <c r="F29" s="11">
        <v>2596</v>
      </c>
      <c r="G29" s="12">
        <f>F29/C29</f>
        <v>3.7085714285714286</v>
      </c>
      <c r="H29" s="13">
        <v>1236</v>
      </c>
    </row>
    <row r="30" spans="1:8" x14ac:dyDescent="0.35">
      <c r="A30" s="7">
        <v>29</v>
      </c>
      <c r="B30" s="8" t="s">
        <v>13</v>
      </c>
      <c r="C30" s="9">
        <v>7047</v>
      </c>
      <c r="D30" s="10">
        <v>5651</v>
      </c>
      <c r="E30" s="10">
        <v>7077</v>
      </c>
      <c r="F30" s="11">
        <v>25273</v>
      </c>
      <c r="G30" s="12">
        <f>F30/C30</f>
        <v>3.5863488009081879</v>
      </c>
      <c r="H30" s="13">
        <v>13000</v>
      </c>
    </row>
    <row r="31" spans="1:8" x14ac:dyDescent="0.35">
      <c r="A31" s="7">
        <v>30</v>
      </c>
      <c r="B31" s="8" t="s">
        <v>11</v>
      </c>
      <c r="C31" s="9">
        <v>203</v>
      </c>
      <c r="D31" s="10">
        <v>162</v>
      </c>
      <c r="E31" s="10">
        <v>371</v>
      </c>
      <c r="F31" s="11">
        <v>472</v>
      </c>
      <c r="G31" s="12">
        <f>F31/C31</f>
        <v>2.3251231527093594</v>
      </c>
      <c r="H31" s="13">
        <v>500</v>
      </c>
    </row>
    <row r="32" spans="1:8" x14ac:dyDescent="0.35">
      <c r="A32" s="7">
        <v>31</v>
      </c>
      <c r="B32" s="8" t="s">
        <v>17</v>
      </c>
      <c r="C32" s="9">
        <v>794</v>
      </c>
      <c r="D32" s="10">
        <v>420</v>
      </c>
      <c r="E32" s="10">
        <v>1335</v>
      </c>
      <c r="F32" s="11">
        <v>1793</v>
      </c>
      <c r="G32" s="12">
        <f>F32/C32</f>
        <v>2.2581863979848866</v>
      </c>
      <c r="H32" s="13">
        <v>2880</v>
      </c>
    </row>
    <row r="33" spans="1:8" x14ac:dyDescent="0.35">
      <c r="A33" s="7">
        <v>32</v>
      </c>
      <c r="B33" s="8" t="s">
        <v>16</v>
      </c>
      <c r="C33" s="9">
        <v>3809</v>
      </c>
      <c r="D33" s="10">
        <v>4290</v>
      </c>
      <c r="E33" s="10">
        <v>3910</v>
      </c>
      <c r="F33" s="11">
        <v>17424</v>
      </c>
      <c r="G33" s="12">
        <f>F33/C33</f>
        <v>4.5744289839852978</v>
      </c>
      <c r="H33" s="13" t="s">
        <v>41</v>
      </c>
    </row>
    <row r="34" spans="1:8" ht="11" thickBot="1" x14ac:dyDescent="0.4">
      <c r="A34" s="15">
        <v>33</v>
      </c>
      <c r="B34" s="16" t="s">
        <v>15</v>
      </c>
      <c r="C34" s="17">
        <v>6016</v>
      </c>
      <c r="D34" s="18">
        <v>6670</v>
      </c>
      <c r="E34" s="18">
        <v>5580</v>
      </c>
      <c r="F34" s="19">
        <v>27697</v>
      </c>
      <c r="G34" s="20">
        <f>F34/C34</f>
        <v>4.6038896276595747</v>
      </c>
      <c r="H34" s="21">
        <v>2000</v>
      </c>
    </row>
    <row r="35" spans="1:8" x14ac:dyDescent="0.35">
      <c r="C35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PCT 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Ilhem Bechraoui Meziane</dc:creator>
  <cp:lastModifiedBy>Manoj Kumar Jadhav</cp:lastModifiedBy>
  <cp:lastPrinted>2026-02-26T09:35:52Z</cp:lastPrinted>
  <dcterms:created xsi:type="dcterms:W3CDTF">2025-12-09T16:29:05Z</dcterms:created>
  <dcterms:modified xsi:type="dcterms:W3CDTF">2026-03-14T06:48:32Z</dcterms:modified>
</cp:coreProperties>
</file>